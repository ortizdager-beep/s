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riteois-my.sharepoint.com/personal/r_ortiz_criteo_com/Documents/Desktop/"/>
    </mc:Choice>
  </mc:AlternateContent>
  <xr:revisionPtr revIDLastSave="7" documentId="8_{CFC4D39A-1A7A-4B25-8FA1-EB9959D53FCE}" xr6:coauthVersionLast="47" xr6:coauthVersionMax="47" xr10:uidLastSave="{C7A2FA0C-33C7-4470-8EEE-9C53DBE7132F}"/>
  <bookViews>
    <workbookView xWindow="1900" yWindow="1900" windowWidth="19200" windowHeight="11170" firstSheet="2" activeTab="4" xr2:uid="{9502D2B4-280D-492D-B087-B45923AEC9B5}"/>
  </bookViews>
  <sheets>
    <sheet name="Chris TS-TO-AMS" sheetId="11" r:id="rId1"/>
    <sheet name="Cristian TS EMEA" sheetId="6" r:id="rId2"/>
    <sheet name="Adriano Crea-EMEA" sheetId="7" r:id="rId3"/>
    <sheet name="Nicolas TO EMA" sheetId="8" r:id="rId4"/>
    <sheet name="Derick AX EMEA" sheetId="9" r:id="rId5"/>
  </sheets>
  <externalReferences>
    <externalReference r:id="rId6"/>
  </externalReferences>
  <definedNames>
    <definedName name="_xlnm._FilterDatabase" localSheetId="2" hidden="1">'Adriano Crea-EMEA'!$1:$16</definedName>
    <definedName name="_xlnm._FilterDatabase" localSheetId="0" hidden="1">'Chris TS-TO-AMS'!$A$1:$AB$1</definedName>
    <definedName name="_xlnm._FilterDatabase" localSheetId="1" hidden="1">'Cristian TS EMEA'!$1:$22</definedName>
    <definedName name="_xlnm._FilterDatabase" localSheetId="4" hidden="1">'Derick AX EMEA'!$1:$20</definedName>
    <definedName name="_xlnm._FilterDatabase" localSheetId="3" hidden="1">'Nicolas TO EMA'!$1:$13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" i="6" l="1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8" i="6"/>
  <c r="T19" i="6"/>
  <c r="T20" i="6"/>
  <c r="T21" i="6"/>
  <c r="T22" i="6"/>
  <c r="T2" i="6"/>
  <c r="Y20" i="9"/>
  <c r="Y19" i="9"/>
  <c r="Y18" i="9"/>
  <c r="Y17" i="9"/>
  <c r="Y16" i="9"/>
  <c r="Y15" i="9"/>
  <c r="Y14" i="9"/>
  <c r="Y13" i="9"/>
  <c r="Y12" i="9"/>
  <c r="Y11" i="9"/>
  <c r="Y10" i="9"/>
  <c r="Y9" i="9"/>
  <c r="Y8" i="9"/>
  <c r="Y7" i="9"/>
  <c r="Y6" i="9"/>
  <c r="Y5" i="9"/>
  <c r="Y4" i="9"/>
  <c r="Y3" i="9"/>
  <c r="Y2" i="9"/>
  <c r="Y12" i="8"/>
  <c r="Y11" i="8"/>
  <c r="Y10" i="8"/>
  <c r="Y9" i="8"/>
  <c r="Y8" i="8"/>
  <c r="Y7" i="8"/>
  <c r="Y6" i="8"/>
  <c r="Y5" i="8"/>
  <c r="Y4" i="8"/>
  <c r="Y3" i="8"/>
  <c r="Y2" i="8"/>
  <c r="Y16" i="7"/>
  <c r="Y15" i="7"/>
  <c r="Y14" i="7"/>
  <c r="Y13" i="7"/>
  <c r="Y12" i="7"/>
  <c r="Y11" i="7"/>
  <c r="Y10" i="7"/>
  <c r="Y9" i="7"/>
  <c r="Y8" i="7"/>
  <c r="Y7" i="7"/>
  <c r="Y6" i="7"/>
  <c r="Y5" i="7"/>
  <c r="Y4" i="7"/>
  <c r="Y3" i="7"/>
  <c r="Y2" i="7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4" i="6"/>
  <c r="Y5" i="6"/>
  <c r="Y6" i="6"/>
  <c r="Y7" i="6"/>
  <c r="Y8" i="6"/>
  <c r="Y2" i="6"/>
  <c r="Y3" i="6"/>
  <c r="Y21" i="11"/>
  <c r="Y20" i="11"/>
  <c r="Y19" i="11"/>
  <c r="Y18" i="11"/>
  <c r="Y17" i="11"/>
  <c r="Y16" i="11"/>
  <c r="Y15" i="11"/>
  <c r="Y14" i="11"/>
  <c r="Y13" i="11"/>
  <c r="Y12" i="11"/>
  <c r="Y11" i="11"/>
  <c r="Y10" i="11"/>
  <c r="Y9" i="11"/>
  <c r="Y8" i="11"/>
  <c r="Y7" i="11"/>
  <c r="Y6" i="11"/>
  <c r="Y5" i="11"/>
  <c r="Y4" i="11"/>
  <c r="Y3" i="11"/>
  <c r="Y2" i="11"/>
</calcChain>
</file>

<file path=xl/sharedStrings.xml><?xml version="1.0" encoding="utf-8"?>
<sst xmlns="http://schemas.openxmlformats.org/spreadsheetml/2006/main" count="946" uniqueCount="201">
  <si>
    <t>ID Employee</t>
  </si>
  <si>
    <t>Worker</t>
  </si>
  <si>
    <t>Job Title</t>
  </si>
  <si>
    <t>Team</t>
  </si>
  <si>
    <t>Individual Contributor or Manager</t>
  </si>
  <si>
    <t>FTE %</t>
  </si>
  <si>
    <t>Manager Name</t>
  </si>
  <si>
    <t>Org</t>
  </si>
  <si>
    <t>Employee Type</t>
  </si>
  <si>
    <t>Product SoV</t>
  </si>
  <si>
    <t>PM</t>
  </si>
  <si>
    <t>RM</t>
  </si>
  <si>
    <t>PerfM SoV</t>
  </si>
  <si>
    <t>XL</t>
  </si>
  <si>
    <t>L+</t>
  </si>
  <si>
    <t>L</t>
  </si>
  <si>
    <t>M</t>
  </si>
  <si>
    <t>Tail</t>
  </si>
  <si>
    <t>Direct SoV</t>
  </si>
  <si>
    <t>EMEA SoV</t>
  </si>
  <si>
    <t>AMER SoV</t>
  </si>
  <si>
    <t>APAC SoV</t>
  </si>
  <si>
    <t>Global SoV</t>
  </si>
  <si>
    <t>check distribution sum</t>
  </si>
  <si>
    <t>BF</t>
  </si>
  <si>
    <t>Region</t>
  </si>
  <si>
    <t>Comments</t>
  </si>
  <si>
    <t>Thomas Cattin MC</t>
  </si>
  <si>
    <t>Data Analyst EMEA  Performance Media  Agency &amp; New Verticals</t>
  </si>
  <si>
    <t>AX EMEA</t>
  </si>
  <si>
    <t>Individual Contributor</t>
  </si>
  <si>
    <t>Javier Martin</t>
  </si>
  <si>
    <t>PM Fields Ops</t>
  </si>
  <si>
    <t>Regular</t>
  </si>
  <si>
    <t>N</t>
  </si>
  <si>
    <t>Dmitriy Andreevich Lazarev (Дмитрий Андреевич Лазарев)</t>
  </si>
  <si>
    <t>Senior Technical Solutions Engineer  EMEA Performance Media</t>
  </si>
  <si>
    <t>TS EMEA</t>
  </si>
  <si>
    <t>Adheel Barlas</t>
  </si>
  <si>
    <t>Manager</t>
  </si>
  <si>
    <t>US</t>
  </si>
  <si>
    <t>Data Analyst</t>
  </si>
  <si>
    <t>Y</t>
  </si>
  <si>
    <t>Sameh Kinawy</t>
  </si>
  <si>
    <t>Team Lead  Technical Solutions  New Business</t>
  </si>
  <si>
    <t>TS AMS</t>
  </si>
  <si>
    <t>Mike Whatley</t>
  </si>
  <si>
    <t>Technical Solutions Consultant II</t>
  </si>
  <si>
    <t>Christopher Guido</t>
  </si>
  <si>
    <t>Director  Technical Solutions  Growth  Americas</t>
  </si>
  <si>
    <t>Ben Shain</t>
  </si>
  <si>
    <t>Manager  Existing Business US</t>
  </si>
  <si>
    <t>Christopher Berry</t>
  </si>
  <si>
    <t>Client Technical Partner</t>
  </si>
  <si>
    <t>Aryaa Sahas</t>
  </si>
  <si>
    <t>Technical Account Manager II</t>
  </si>
  <si>
    <t>r20381</t>
  </si>
  <si>
    <t>Investment_MPO_2</t>
  </si>
  <si>
    <t>Raul Montero</t>
  </si>
  <si>
    <t>Alice Joo</t>
  </si>
  <si>
    <t>Rob Maskrey</t>
  </si>
  <si>
    <t>Simon Chen</t>
  </si>
  <si>
    <t>Michele Gao</t>
  </si>
  <si>
    <t>Technical Onboarding Specialist II</t>
  </si>
  <si>
    <t>Austin Wong</t>
  </si>
  <si>
    <t>Dominik Remplik</t>
  </si>
  <si>
    <t>Senior Manager  Analytics  EMEA Performance Media  Retail</t>
  </si>
  <si>
    <t>Jonas Kreusel</t>
  </si>
  <si>
    <t>Senior Data Analyst EMEA  Performance Media  Retail</t>
  </si>
  <si>
    <t>Stefan Tuchbreiter</t>
  </si>
  <si>
    <t>Principal Data Analyst EMEA  Performance Media  Retail</t>
  </si>
  <si>
    <t>Sonja Pause</t>
  </si>
  <si>
    <t>Team Lead  Analytics  EMEA Performance Media  Agency &amp; New Verticals</t>
  </si>
  <si>
    <t>Michael Neundorf</t>
  </si>
  <si>
    <t>Principal Technical Solutions  EMEA Performance Media</t>
  </si>
  <si>
    <t>Sergio Jimenez Fernandez</t>
  </si>
  <si>
    <t>Senior Lead  Technical Solutions  EMEA Performance Media</t>
  </si>
  <si>
    <t>Laura Werling</t>
  </si>
  <si>
    <t>Saskia Schanz (On Leave)</t>
  </si>
  <si>
    <t>Aljoscha Zynga</t>
  </si>
  <si>
    <t>Technical Solutions Engineer 2  EMEA Performance Media</t>
  </si>
  <si>
    <t>Augusto Fornitani</t>
  </si>
  <si>
    <t>Team Lead  Technical Solutions  LATAM</t>
  </si>
  <si>
    <t>Alex Mota Almeida</t>
  </si>
  <si>
    <t>Technical Solutions Intern</t>
  </si>
  <si>
    <t>Intern</t>
  </si>
  <si>
    <t>Jessica Daeun Kim</t>
  </si>
  <si>
    <t>Lucas Pinheiro Costa</t>
  </si>
  <si>
    <t>Technical Solutions Engineer I</t>
  </si>
  <si>
    <t>Rafael Costrov</t>
  </si>
  <si>
    <t>Tharcísio Nogueira</t>
  </si>
  <si>
    <t>Senior Technical Account Manager</t>
  </si>
  <si>
    <t>Laura Agnello</t>
  </si>
  <si>
    <t>Senior Digital Designer  EMEA Creative  Performance Media  Enterprise</t>
  </si>
  <si>
    <t>Crea EMEA</t>
  </si>
  <si>
    <t>r20001</t>
  </si>
  <si>
    <t>Data Analyst Intern  Performance Media EMEA</t>
  </si>
  <si>
    <t>Marcos Calleja</t>
  </si>
  <si>
    <t>Senior Data Analyst  EMEA Performance Media  Travel</t>
  </si>
  <si>
    <t>Derick Leony Arreaga</t>
  </si>
  <si>
    <t>Director  Analytics  EMEA</t>
  </si>
  <si>
    <t>Óscar Sánchez Cornellà</t>
  </si>
  <si>
    <t>Hedda Helen Svendsen</t>
  </si>
  <si>
    <t>Data Analyst 2 EMEA  Performance Media  Agency &amp; New Verticals</t>
  </si>
  <si>
    <t>Giulio Costantino D'Addario</t>
  </si>
  <si>
    <t>Manager  Analytics  EMEA Performance Media  Travel</t>
  </si>
  <si>
    <t>Ildem Sanli</t>
  </si>
  <si>
    <t>Data Analyst EMEA  Performance Media  Retail</t>
  </si>
  <si>
    <t>Marc Romero Esquerdo</t>
  </si>
  <si>
    <t>Juan Carlos Ruiz</t>
  </si>
  <si>
    <t>Data Analyst 2 EMEA  Performance Media  Travel</t>
  </si>
  <si>
    <t>Àlex Valverde</t>
  </si>
  <si>
    <t>Natsuki Eliza Langenbach</t>
  </si>
  <si>
    <t>Data Analyst EMEA  Performance Media</t>
  </si>
  <si>
    <t>r19763</t>
  </si>
  <si>
    <t>Data Analyst EMEA Performance Media</t>
  </si>
  <si>
    <t>Christopher Windsor</t>
  </si>
  <si>
    <t>Andy Padel</t>
  </si>
  <si>
    <t>Lead  New Business TS EMEA</t>
  </si>
  <si>
    <t>TO EMEA</t>
  </si>
  <si>
    <t>Murat Baş</t>
  </si>
  <si>
    <t>Technical Solutions Engineer  New Business EMEA</t>
  </si>
  <si>
    <t>Javier Bernal Arencibia</t>
  </si>
  <si>
    <t>Team Lead  Technical Solutions  EMEA Performance Media</t>
  </si>
  <si>
    <t>Alexandre Benavides Silva</t>
  </si>
  <si>
    <t>Antonello Martino de Carles</t>
  </si>
  <si>
    <t>Clément Vallat</t>
  </si>
  <si>
    <t>Cristian Cernea Corbeanu</t>
  </si>
  <si>
    <t>Manager  Technical Solutions  EMEA Performance Media</t>
  </si>
  <si>
    <t>Fede Gomez</t>
  </si>
  <si>
    <t>Elialba Rendiles Guerra</t>
  </si>
  <si>
    <t>David Hidalgo Ramos</t>
  </si>
  <si>
    <t>Marc ARCAS DIAZ</t>
  </si>
  <si>
    <t>Team Lead Technical Solutions EMEA</t>
  </si>
  <si>
    <t>Carlota_Sola_Casado</t>
  </si>
  <si>
    <t>Senior Manager Technical Solutions EMEA Retail Media</t>
  </si>
  <si>
    <t>Jeffrey Bujawdeh</t>
  </si>
  <si>
    <t>Technical Solutions Engineer EMEA</t>
  </si>
  <si>
    <t>Adrien Charles Clesse</t>
  </si>
  <si>
    <t>r20011</t>
  </si>
  <si>
    <t>Eva Vera García</t>
  </si>
  <si>
    <t>Creative Designer  Retail Media</t>
  </si>
  <si>
    <t>Romy Haucke</t>
  </si>
  <si>
    <t>Senior Creative Designer  EMEA Creative  Performance Media  Emerging</t>
  </si>
  <si>
    <t>Mike Marchetti</t>
  </si>
  <si>
    <t>Digital Designer EMEA Creative  Performance Media  Enterprise</t>
  </si>
  <si>
    <t>Javier Puyuelo Puértolas</t>
  </si>
  <si>
    <t>Creative Designer  EMEA Creative  Performance Media  Enterprise</t>
  </si>
  <si>
    <t>Nicolle Brisbane</t>
  </si>
  <si>
    <t>Team Lead  Creative  EMEA Performance Media  Enterprise</t>
  </si>
  <si>
    <t>Mayowale Onamade</t>
  </si>
  <si>
    <t>Creative Designer  EMEA Creative  Performance Media  Emerging</t>
  </si>
  <si>
    <t>Ethan Barr</t>
  </si>
  <si>
    <t>Client Focus - Digital Designer 2</t>
  </si>
  <si>
    <t>Silvia Cordero Quintana (On Leave)</t>
  </si>
  <si>
    <t>Landis Flores Rangel</t>
  </si>
  <si>
    <t>Creative Designer 2  EMEA</t>
  </si>
  <si>
    <t>Başak Değirmenci</t>
  </si>
  <si>
    <t>Creative Consultant</t>
  </si>
  <si>
    <t>Adriano dell'Aquila</t>
  </si>
  <si>
    <t>Senior Manager  Creative  EMEA</t>
  </si>
  <si>
    <t>ANNA FERRARINI</t>
  </si>
  <si>
    <t>Technical Onboarding Specialist 2  EMEA</t>
  </si>
  <si>
    <t>Nicolas Thielen</t>
  </si>
  <si>
    <t>Anna Rodriguez Mata</t>
  </si>
  <si>
    <t>Tony Granado</t>
  </si>
  <si>
    <t>Technical Onboarding Specialist  EMEA</t>
  </si>
  <si>
    <t>Tiziana D'Addato</t>
  </si>
  <si>
    <t>Marcela Cuadra</t>
  </si>
  <si>
    <t>Romain Martini</t>
  </si>
  <si>
    <t>Veronika Jancso</t>
  </si>
  <si>
    <t>Bastien Berardi</t>
  </si>
  <si>
    <t>Nicolas Siw-wha Martigne</t>
  </si>
  <si>
    <t>Ani Khachatryan</t>
  </si>
  <si>
    <t>Adam DeGuire</t>
  </si>
  <si>
    <t>BF_Ebru_Cengiz</t>
  </si>
  <si>
    <t>BF_Ebru Cengiz</t>
  </si>
  <si>
    <t>Updated segment breakout</t>
  </si>
  <si>
    <t>Corrected level/job title</t>
  </si>
  <si>
    <t>Senior Sales Engineer I</t>
  </si>
  <si>
    <t>Updated segment break out; level/job title</t>
  </si>
  <si>
    <t>LATAM</t>
  </si>
  <si>
    <t>Updated segment break out</t>
  </si>
  <si>
    <t>Technical Solutions Engineer II</t>
  </si>
  <si>
    <t>Working on backfill; Updated segment breakout</t>
  </si>
  <si>
    <t>No longer at criteo, no backfill, updated FTE to 0</t>
  </si>
  <si>
    <t>EMEA</t>
  </si>
  <si>
    <t xml:space="preserve">We initially planned to backfill Ebru but just closed the backfill position, so I think should be counted as 0% FTE (she left first week of Jan), haven't changed it yet. </t>
  </si>
  <si>
    <t>Alexandru Dinu</t>
  </si>
  <si>
    <t>OK</t>
  </si>
  <si>
    <t>Alexandru was originally missing from file, therefore added in red. He is currently on a long-term sick leave (started in April 2025). As he hasn't been operational Segment split is best guess based on reality 2025.</t>
  </si>
  <si>
    <t>part-time</t>
  </si>
  <si>
    <t>r20616</t>
  </si>
  <si>
    <t>Nida Gudzenkaite</t>
  </si>
  <si>
    <t>Backfill of Apoline Labey (r20001)</t>
  </si>
  <si>
    <t>Filipa Guerra</t>
  </si>
  <si>
    <t>Starting on June 15, backfill of Yiran Wei (r19763)</t>
  </si>
  <si>
    <t>New Business SoV</t>
  </si>
  <si>
    <t>Backfill of Ildem Sanli, who was appointed to XL/L+ position (r20012) - EDIT: Position has been cancelled</t>
  </si>
  <si>
    <t>Adjusted NB percentage to 0, they will only focus on EB for now</t>
  </si>
  <si>
    <t>Kevin Quemarrec (On Leave)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</si>
</sst>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000000"/>
      <name val="Arial"/>
      <family val="2"/>
    </font>
    <font>
      <sz val="11"/>
      <color rgb="FF242424"/>
      <name val="Aptos Narrow"/>
      <family val="2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9E9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9" fontId="0" fillId="0" borderId="0" xfId="1" applyFont="1"/>
    <xf numFmtId="9" fontId="0" fillId="0" borderId="1" xfId="1" applyFont="1" applyBorder="1" applyAlignment="1">
      <alignment horizontal="center"/>
    </xf>
    <xf numFmtId="0" fontId="0" fillId="7" borderId="0" xfId="0" applyFill="1"/>
    <xf numFmtId="0" fontId="0" fillId="0" borderId="0" xfId="0" applyAlignment="1">
      <alignment horizontal="center"/>
    </xf>
    <xf numFmtId="0" fontId="2" fillId="8" borderId="2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10" borderId="1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9" fontId="0" fillId="0" borderId="0" xfId="0" applyNumberFormat="1"/>
    <xf numFmtId="9" fontId="4" fillId="0" borderId="0" xfId="1" applyFont="1"/>
    <xf numFmtId="9" fontId="4" fillId="0" borderId="1" xfId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11" borderId="0" xfId="0" applyFill="1"/>
    <xf numFmtId="9" fontId="0" fillId="11" borderId="0" xfId="1" applyFont="1" applyFill="1"/>
    <xf numFmtId="9" fontId="0" fillId="11" borderId="1" xfId="1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/>
    <xf numFmtId="9" fontId="0" fillId="0" borderId="0" xfId="1" applyFont="1" applyFill="1"/>
    <xf numFmtId="9" fontId="0" fillId="0" borderId="1" xfId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11" borderId="0" xfId="0" applyFont="1" applyFill="1"/>
    <xf numFmtId="0" fontId="0" fillId="9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riteois.sharepoint.com/sites/SCO_CosttoServe2026/Shared%20Documents/SCO%20PM_OP%20MODEL_MAY%202026%20ASSESSMENT/Employee_List_for_Manager%20-%20Allocation%20per%20Tier%20EOQ1%202026%20-%20EMEA%20AMER.xlsx" TargetMode="External"/><Relationship Id="rId1" Type="http://schemas.openxmlformats.org/officeDocument/2006/relationships/externalLinkPath" Target="https://criteois.sharepoint.com/sites/SCO_CosttoServe2026/Shared%20Documents/SCO%20PM_OP%20MODEL_MAY%202026%20ASSESSMENT/Employee_List_for_Manager%20-%20Allocation%20per%20Tier%20EOQ1%202026%20-%20EMEA%20AM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EMEA- AMER"/>
      <sheetName val="Sheet1"/>
      <sheetName val="Einat"/>
      <sheetName val="Pivot EMEA HC per Segment"/>
      <sheetName val="Detalle1"/>
      <sheetName val="Pivot LATAM HC per Segment"/>
      <sheetName val="Pivot AMER HC per Segment"/>
      <sheetName val="Pivot US HC per Segment"/>
      <sheetName val="BoB"/>
      <sheetName val="BoB Nina"/>
      <sheetName val="BoB Kevin"/>
      <sheetName val="Managers"/>
    </sheetNames>
    <sheetDataSet>
      <sheetData sheetId="0"/>
      <sheetData sheetId="1">
        <row r="1">
          <cell r="A1" t="str">
            <v>Worker</v>
          </cell>
          <cell r="B1" t="str">
            <v>Last Name</v>
          </cell>
          <cell r="C1" t="str">
            <v>First Name</v>
          </cell>
          <cell r="D1" t="str">
            <v>Team</v>
          </cell>
          <cell r="E1" t="str">
            <v>Individual Contributor or Manager</v>
          </cell>
          <cell r="F1" t="str">
            <v>FTE %</v>
          </cell>
          <cell r="G1" t="str">
            <v>Manager Name</v>
          </cell>
          <cell r="H1" t="str">
            <v>Employee Type</v>
          </cell>
          <cell r="I1" t="str">
            <v>PerfM SoV</v>
          </cell>
          <cell r="J1" t="str">
            <v>XL</v>
          </cell>
          <cell r="K1" t="str">
            <v>L+</v>
          </cell>
          <cell r="L1" t="str">
            <v>L</v>
          </cell>
          <cell r="M1" t="str">
            <v>M</v>
          </cell>
          <cell r="N1" t="str">
            <v>Tail</v>
          </cell>
          <cell r="O1" t="str">
            <v>Direct SoV</v>
          </cell>
          <cell r="P1" t="str">
            <v>Specialists SoV</v>
          </cell>
          <cell r="Q1" t="str">
            <v>New Business SoV</v>
          </cell>
        </row>
        <row r="2">
          <cell r="A2" t="str">
            <v>Nicolle Brisbane</v>
          </cell>
          <cell r="B2" t="str">
            <v>Brisbane</v>
          </cell>
          <cell r="C2" t="str">
            <v>Nicolle</v>
          </cell>
          <cell r="D2" t="str">
            <v>Crea EMEA</v>
          </cell>
          <cell r="E2" t="str">
            <v>Manager</v>
          </cell>
          <cell r="F2">
            <v>100</v>
          </cell>
          <cell r="G2" t="str">
            <v>Javier Martin</v>
          </cell>
          <cell r="H2" t="str">
            <v>Regular</v>
          </cell>
          <cell r="I2">
            <v>1</v>
          </cell>
          <cell r="J2">
            <v>0.1</v>
          </cell>
          <cell r="K2">
            <v>0.4</v>
          </cell>
          <cell r="L2">
            <v>0.5</v>
          </cell>
          <cell r="M2">
            <v>0</v>
          </cell>
          <cell r="N2">
            <v>0</v>
          </cell>
          <cell r="O2">
            <v>1</v>
          </cell>
          <cell r="P2">
            <v>0</v>
          </cell>
          <cell r="Q2">
            <v>0</v>
          </cell>
        </row>
        <row r="3">
          <cell r="A3" t="str">
            <v>Adriano dell'Aquila</v>
          </cell>
          <cell r="B3" t="str">
            <v>dell'Aquila</v>
          </cell>
          <cell r="C3" t="str">
            <v>Adriano</v>
          </cell>
          <cell r="D3" t="str">
            <v>Crea EMEA</v>
          </cell>
          <cell r="E3" t="str">
            <v>Manager</v>
          </cell>
          <cell r="F3">
            <v>100</v>
          </cell>
          <cell r="G3" t="str">
            <v>Javier Martin</v>
          </cell>
          <cell r="H3" t="str">
            <v>Regular</v>
          </cell>
          <cell r="I3">
            <v>1</v>
          </cell>
          <cell r="J3">
            <v>0.7</v>
          </cell>
          <cell r="K3">
            <v>0.15</v>
          </cell>
          <cell r="L3">
            <v>0.15</v>
          </cell>
          <cell r="M3">
            <v>0</v>
          </cell>
          <cell r="N3">
            <v>0</v>
          </cell>
          <cell r="O3">
            <v>0.5</v>
          </cell>
          <cell r="P3">
            <v>0</v>
          </cell>
          <cell r="Q3">
            <v>0.5</v>
          </cell>
        </row>
        <row r="4">
          <cell r="A4" t="str">
            <v>Mike Marchetti</v>
          </cell>
          <cell r="B4" t="str">
            <v>Marchetti</v>
          </cell>
          <cell r="C4" t="str">
            <v>Mike</v>
          </cell>
          <cell r="D4" t="str">
            <v>Crea EMEA</v>
          </cell>
          <cell r="E4" t="str">
            <v>Individual Contributor</v>
          </cell>
          <cell r="F4">
            <v>100</v>
          </cell>
          <cell r="G4" t="str">
            <v>Javier Martin</v>
          </cell>
          <cell r="H4" t="str">
            <v>Regular</v>
          </cell>
          <cell r="I4">
            <v>1</v>
          </cell>
          <cell r="J4">
            <v>1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0.05</v>
          </cell>
          <cell r="P4">
            <v>0</v>
          </cell>
          <cell r="Q4">
            <v>0.95</v>
          </cell>
        </row>
        <row r="5">
          <cell r="A5" t="str">
            <v>Eva Vera García</v>
          </cell>
          <cell r="B5" t="str">
            <v>Vera</v>
          </cell>
          <cell r="C5" t="str">
            <v>Eva</v>
          </cell>
          <cell r="D5" t="str">
            <v>Crea EMEA</v>
          </cell>
          <cell r="E5" t="str">
            <v>Individual Contributor</v>
          </cell>
          <cell r="F5">
            <v>100</v>
          </cell>
          <cell r="G5" t="str">
            <v>Javier Martin</v>
          </cell>
          <cell r="H5" t="str">
            <v>Regular</v>
          </cell>
          <cell r="I5">
            <v>1</v>
          </cell>
          <cell r="J5">
            <v>0</v>
          </cell>
          <cell r="K5">
            <v>0.5</v>
          </cell>
          <cell r="L5">
            <v>0.5</v>
          </cell>
          <cell r="M5">
            <v>0</v>
          </cell>
          <cell r="N5">
            <v>0</v>
          </cell>
          <cell r="O5">
            <v>1</v>
          </cell>
          <cell r="P5">
            <v>0</v>
          </cell>
          <cell r="Q5">
            <v>0</v>
          </cell>
        </row>
        <row r="6">
          <cell r="A6" t="str">
            <v>Nicolas Siw-wha Martigne</v>
          </cell>
          <cell r="B6" t="str">
            <v>Martigne</v>
          </cell>
          <cell r="C6" t="str">
            <v>Nicolas Siw-wha</v>
          </cell>
          <cell r="D6" t="str">
            <v>Crea EMEA</v>
          </cell>
          <cell r="E6" t="str">
            <v>Individual Contributor</v>
          </cell>
          <cell r="F6">
            <v>100</v>
          </cell>
          <cell r="G6" t="str">
            <v>Javier Martin</v>
          </cell>
          <cell r="H6" t="str">
            <v>Regular</v>
          </cell>
          <cell r="I6">
            <v>1</v>
          </cell>
          <cell r="J6">
            <v>1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0.05</v>
          </cell>
          <cell r="P6">
            <v>0</v>
          </cell>
          <cell r="Q6">
            <v>0.95</v>
          </cell>
        </row>
        <row r="7">
          <cell r="A7" t="str">
            <v>Ani Khachatryan</v>
          </cell>
          <cell r="B7" t="str">
            <v>Khachatryan</v>
          </cell>
          <cell r="C7" t="str">
            <v>Ani</v>
          </cell>
          <cell r="D7" t="str">
            <v>Crea EMEA</v>
          </cell>
          <cell r="E7" t="str">
            <v>Individual Contributor</v>
          </cell>
          <cell r="F7">
            <v>100</v>
          </cell>
          <cell r="G7" t="str">
            <v>Javier Martin</v>
          </cell>
          <cell r="H7" t="str">
            <v>Regular</v>
          </cell>
          <cell r="I7">
            <v>1</v>
          </cell>
          <cell r="J7">
            <v>0.15</v>
          </cell>
          <cell r="K7">
            <v>0.25</v>
          </cell>
          <cell r="L7">
            <v>0.6</v>
          </cell>
          <cell r="M7">
            <v>0</v>
          </cell>
          <cell r="N7">
            <v>0</v>
          </cell>
          <cell r="O7">
            <v>1</v>
          </cell>
          <cell r="P7">
            <v>0</v>
          </cell>
          <cell r="Q7">
            <v>0</v>
          </cell>
        </row>
        <row r="8">
          <cell r="A8" t="str">
            <v>Laura Agnello</v>
          </cell>
          <cell r="B8" t="str">
            <v>Agnello</v>
          </cell>
          <cell r="C8" t="str">
            <v>Laura</v>
          </cell>
          <cell r="D8" t="str">
            <v>Crea EMEA</v>
          </cell>
          <cell r="E8" t="str">
            <v>Individual Contributor</v>
          </cell>
          <cell r="F8">
            <v>100</v>
          </cell>
          <cell r="G8" t="str">
            <v>Javier Martin</v>
          </cell>
          <cell r="H8" t="str">
            <v>Regular</v>
          </cell>
          <cell r="I8">
            <v>1</v>
          </cell>
          <cell r="J8">
            <v>0.2</v>
          </cell>
          <cell r="K8">
            <v>0.3</v>
          </cell>
          <cell r="L8">
            <v>0.5</v>
          </cell>
          <cell r="M8">
            <v>0</v>
          </cell>
          <cell r="N8">
            <v>0</v>
          </cell>
          <cell r="O8">
            <v>0.5</v>
          </cell>
          <cell r="P8">
            <v>0</v>
          </cell>
          <cell r="Q8">
            <v>0</v>
          </cell>
        </row>
        <row r="9">
          <cell r="A9" t="str">
            <v>Ethan Barr</v>
          </cell>
          <cell r="B9" t="str">
            <v>Barr</v>
          </cell>
          <cell r="C9" t="str">
            <v>Ethan</v>
          </cell>
          <cell r="D9" t="str">
            <v>Crea EMEA</v>
          </cell>
          <cell r="E9" t="str">
            <v>Individual Contributor</v>
          </cell>
          <cell r="F9">
            <v>100</v>
          </cell>
          <cell r="G9" t="str">
            <v>Javier Martin</v>
          </cell>
          <cell r="H9" t="str">
            <v>Regular</v>
          </cell>
          <cell r="I9">
            <v>1</v>
          </cell>
          <cell r="J9">
            <v>0.3</v>
          </cell>
          <cell r="K9">
            <v>0.3</v>
          </cell>
          <cell r="L9">
            <v>0.4</v>
          </cell>
          <cell r="M9">
            <v>0</v>
          </cell>
          <cell r="N9">
            <v>0</v>
          </cell>
          <cell r="O9">
            <v>1</v>
          </cell>
          <cell r="P9">
            <v>0</v>
          </cell>
          <cell r="Q9">
            <v>0</v>
          </cell>
        </row>
        <row r="10">
          <cell r="A10" t="str">
            <v>Landis Flores Rangel</v>
          </cell>
          <cell r="B10" t="str">
            <v>Flores</v>
          </cell>
          <cell r="C10" t="str">
            <v>Landis</v>
          </cell>
          <cell r="D10" t="str">
            <v>Crea EMEA</v>
          </cell>
          <cell r="E10" t="str">
            <v>Individual Contributor</v>
          </cell>
          <cell r="F10">
            <v>100</v>
          </cell>
          <cell r="G10" t="str">
            <v>Javier Martin</v>
          </cell>
          <cell r="H10" t="str">
            <v>Regular</v>
          </cell>
          <cell r="I10">
            <v>1</v>
          </cell>
          <cell r="J10">
            <v>1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0.05</v>
          </cell>
          <cell r="P10">
            <v>0</v>
          </cell>
          <cell r="Q10">
            <v>0.95</v>
          </cell>
        </row>
        <row r="11">
          <cell r="A11" t="str">
            <v>Javier Puyuelo Puértolas</v>
          </cell>
          <cell r="B11" t="str">
            <v>Puyuelo</v>
          </cell>
          <cell r="C11" t="str">
            <v>Javier</v>
          </cell>
          <cell r="D11" t="str">
            <v>Crea EMEA</v>
          </cell>
          <cell r="E11" t="str">
            <v>Individual Contributor</v>
          </cell>
          <cell r="F11">
            <v>100</v>
          </cell>
          <cell r="G11" t="str">
            <v>Javier Martin</v>
          </cell>
          <cell r="H11" t="str">
            <v>Regular</v>
          </cell>
          <cell r="I11">
            <v>1</v>
          </cell>
          <cell r="J11">
            <v>0.05</v>
          </cell>
          <cell r="K11">
            <v>0.3</v>
          </cell>
          <cell r="L11">
            <v>0.65</v>
          </cell>
          <cell r="M11">
            <v>0</v>
          </cell>
          <cell r="N11">
            <v>0</v>
          </cell>
          <cell r="O11">
            <v>1</v>
          </cell>
          <cell r="P11">
            <v>0</v>
          </cell>
          <cell r="Q11">
            <v>0</v>
          </cell>
        </row>
        <row r="12">
          <cell r="A12" t="str">
            <v>Başak Değirmenci</v>
          </cell>
          <cell r="B12" t="str">
            <v>Değirmenci</v>
          </cell>
          <cell r="C12" t="str">
            <v>Başak</v>
          </cell>
          <cell r="D12" t="str">
            <v>Crea EMEA</v>
          </cell>
          <cell r="E12" t="str">
            <v>Individual Contributor</v>
          </cell>
          <cell r="F12">
            <v>100</v>
          </cell>
          <cell r="G12" t="str">
            <v>Javier Martin</v>
          </cell>
          <cell r="H12" t="str">
            <v>Regular</v>
          </cell>
          <cell r="I12">
            <v>1</v>
          </cell>
          <cell r="J12">
            <v>1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1</v>
          </cell>
          <cell r="P12">
            <v>0</v>
          </cell>
          <cell r="Q12">
            <v>0</v>
          </cell>
        </row>
        <row r="13">
          <cell r="A13" t="str">
            <v>Mayowale Onamade</v>
          </cell>
          <cell r="B13" t="str">
            <v>Onamade</v>
          </cell>
          <cell r="C13" t="str">
            <v>Mayowale</v>
          </cell>
          <cell r="D13" t="str">
            <v>Crea EMEA</v>
          </cell>
          <cell r="E13" t="str">
            <v>Individual Contributor</v>
          </cell>
          <cell r="F13">
            <v>100</v>
          </cell>
          <cell r="G13" t="str">
            <v>Javier Martin</v>
          </cell>
          <cell r="H13" t="str">
            <v>Regular</v>
          </cell>
          <cell r="I13">
            <v>1</v>
          </cell>
          <cell r="J13">
            <v>0.1</v>
          </cell>
          <cell r="K13">
            <v>0.2</v>
          </cell>
          <cell r="L13">
            <v>0.7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</row>
        <row r="14">
          <cell r="A14" t="str">
            <v>Silvia Cordero Quintana (On Leave)</v>
          </cell>
          <cell r="B14" t="str">
            <v>Cordero Quintana</v>
          </cell>
          <cell r="C14" t="str">
            <v>Silvia</v>
          </cell>
          <cell r="D14" t="str">
            <v>Crea EMEA</v>
          </cell>
          <cell r="E14" t="str">
            <v>Individual Contributor</v>
          </cell>
          <cell r="F14">
            <v>0</v>
          </cell>
          <cell r="G14" t="str">
            <v>Javier Martin</v>
          </cell>
          <cell r="H14" t="str">
            <v>Regular</v>
          </cell>
          <cell r="I14">
            <v>1</v>
          </cell>
          <cell r="J14">
            <v>0.91</v>
          </cell>
          <cell r="K14">
            <v>0.09</v>
          </cell>
          <cell r="L14">
            <v>0</v>
          </cell>
          <cell r="M14">
            <v>0</v>
          </cell>
          <cell r="N14">
            <v>0</v>
          </cell>
          <cell r="O14">
            <v>1</v>
          </cell>
          <cell r="P14">
            <v>0</v>
          </cell>
          <cell r="Q14">
            <v>0</v>
          </cell>
        </row>
        <row r="15">
          <cell r="A15" t="str">
            <v>Kevin Quemarrec</v>
          </cell>
          <cell r="B15" t="str">
            <v>Quemarrec</v>
          </cell>
          <cell r="C15" t="str">
            <v>Kevin</v>
          </cell>
          <cell r="D15" t="str">
            <v>Crea EMEA</v>
          </cell>
          <cell r="E15" t="str">
            <v>Individual Contributor</v>
          </cell>
          <cell r="F15">
            <v>100</v>
          </cell>
          <cell r="G15" t="str">
            <v>Javier Martin</v>
          </cell>
          <cell r="H15" t="str">
            <v>Regular</v>
          </cell>
          <cell r="I15">
            <v>1</v>
          </cell>
          <cell r="J15">
            <v>0.15</v>
          </cell>
          <cell r="K15">
            <v>0.4</v>
          </cell>
          <cell r="L15">
            <v>0.45</v>
          </cell>
          <cell r="M15">
            <v>0</v>
          </cell>
          <cell r="N15">
            <v>0</v>
          </cell>
          <cell r="O15">
            <v>1</v>
          </cell>
          <cell r="P15">
            <v>0</v>
          </cell>
          <cell r="Q15">
            <v>0</v>
          </cell>
        </row>
        <row r="16">
          <cell r="A16" t="str">
            <v>Romy Haucke</v>
          </cell>
          <cell r="B16" t="str">
            <v>Haucke</v>
          </cell>
          <cell r="C16" t="str">
            <v>Romy</v>
          </cell>
          <cell r="D16" t="str">
            <v>Crea EMEA</v>
          </cell>
          <cell r="E16" t="str">
            <v>Individual Contributor</v>
          </cell>
          <cell r="F16">
            <v>100</v>
          </cell>
          <cell r="G16" t="str">
            <v>Javier Martin</v>
          </cell>
          <cell r="H16" t="str">
            <v>Regular</v>
          </cell>
          <cell r="I16">
            <v>1</v>
          </cell>
          <cell r="J16">
            <v>1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1</v>
          </cell>
          <cell r="P16">
            <v>0</v>
          </cell>
          <cell r="Q16">
            <v>0</v>
          </cell>
        </row>
        <row r="17">
          <cell r="A17" t="str">
            <v>Steve Tarcan</v>
          </cell>
          <cell r="B17" t="str">
            <v>Tarcan</v>
          </cell>
          <cell r="C17" t="str">
            <v>Steve</v>
          </cell>
          <cell r="D17" t="str">
            <v>Campaign Management AMS</v>
          </cell>
          <cell r="E17" t="str">
            <v>Individual Contributor</v>
          </cell>
          <cell r="F17">
            <v>100</v>
          </cell>
          <cell r="G17" t="str">
            <v>Javier Martin</v>
          </cell>
          <cell r="H17" t="str">
            <v>Regular</v>
          </cell>
          <cell r="I17">
            <v>1</v>
          </cell>
          <cell r="J17">
            <v>0.6</v>
          </cell>
          <cell r="K17">
            <v>0.2</v>
          </cell>
          <cell r="L17">
            <v>0.2</v>
          </cell>
          <cell r="M17">
            <v>0</v>
          </cell>
          <cell r="N17">
            <v>0</v>
          </cell>
          <cell r="O17">
            <v>1</v>
          </cell>
          <cell r="P17">
            <v>0</v>
          </cell>
          <cell r="Q17">
            <v>0</v>
          </cell>
        </row>
        <row r="18">
          <cell r="A18" t="str">
            <v>Laura Malis</v>
          </cell>
          <cell r="B18" t="str">
            <v>Malis</v>
          </cell>
          <cell r="C18" t="str">
            <v>Laura</v>
          </cell>
          <cell r="D18" t="str">
            <v>Customer Success AMS</v>
          </cell>
          <cell r="E18" t="str">
            <v>Manager</v>
          </cell>
          <cell r="F18">
            <v>100</v>
          </cell>
          <cell r="G18" t="str">
            <v>Javier Martin</v>
          </cell>
          <cell r="H18" t="str">
            <v>Regular</v>
          </cell>
          <cell r="I18">
            <v>1</v>
          </cell>
          <cell r="J18">
            <v>0.28000000000000003</v>
          </cell>
          <cell r="K18">
            <v>0.19</v>
          </cell>
          <cell r="L18">
            <v>0.23</v>
          </cell>
          <cell r="M18">
            <v>0.22</v>
          </cell>
          <cell r="N18">
            <v>0.08</v>
          </cell>
          <cell r="O18">
            <v>0.73</v>
          </cell>
          <cell r="P18">
            <v>0</v>
          </cell>
          <cell r="Q18">
            <v>0.06</v>
          </cell>
        </row>
        <row r="19">
          <cell r="A19" t="str">
            <v>Carolyn Mortell</v>
          </cell>
          <cell r="B19" t="str">
            <v>Mortell</v>
          </cell>
          <cell r="C19" t="str">
            <v>Carolyn</v>
          </cell>
          <cell r="D19" t="str">
            <v>Campaign Management AMS</v>
          </cell>
          <cell r="E19" t="str">
            <v>Manager</v>
          </cell>
          <cell r="F19">
            <v>100</v>
          </cell>
          <cell r="G19" t="str">
            <v>Javier Martin</v>
          </cell>
          <cell r="H19" t="str">
            <v>Regular</v>
          </cell>
          <cell r="I19">
            <v>1</v>
          </cell>
          <cell r="J19">
            <v>0.55000000000000004</v>
          </cell>
          <cell r="K19">
            <v>0.25</v>
          </cell>
          <cell r="L19">
            <v>0.2</v>
          </cell>
          <cell r="M19">
            <v>0</v>
          </cell>
          <cell r="N19">
            <v>0</v>
          </cell>
          <cell r="O19">
            <v>0.78</v>
          </cell>
          <cell r="P19">
            <v>0</v>
          </cell>
          <cell r="Q19">
            <v>0.03</v>
          </cell>
        </row>
        <row r="20">
          <cell r="A20" t="str">
            <v>Bennett McCullough</v>
          </cell>
          <cell r="B20" t="str">
            <v>McCullough</v>
          </cell>
          <cell r="C20" t="str">
            <v>Bennett</v>
          </cell>
          <cell r="D20" t="str">
            <v>Campaign Management AMS</v>
          </cell>
          <cell r="E20" t="str">
            <v>Individual Contributor</v>
          </cell>
          <cell r="F20">
            <v>100</v>
          </cell>
          <cell r="G20" t="str">
            <v>Javier Martin</v>
          </cell>
          <cell r="H20" t="str">
            <v>Regular</v>
          </cell>
          <cell r="I20">
            <v>1</v>
          </cell>
          <cell r="J20">
            <v>0.85</v>
          </cell>
          <cell r="K20">
            <v>0.15</v>
          </cell>
          <cell r="L20">
            <v>0</v>
          </cell>
          <cell r="M20">
            <v>0</v>
          </cell>
          <cell r="N20">
            <v>0</v>
          </cell>
          <cell r="O20">
            <v>1</v>
          </cell>
          <cell r="P20">
            <v>0</v>
          </cell>
          <cell r="Q20">
            <v>0</v>
          </cell>
        </row>
        <row r="21">
          <cell r="A21" t="str">
            <v>Stacy Khetsavanh</v>
          </cell>
          <cell r="B21" t="str">
            <v>Khetsavanh</v>
          </cell>
          <cell r="C21" t="str">
            <v>Stacy</v>
          </cell>
          <cell r="D21" t="str">
            <v>Campaign Management AMS</v>
          </cell>
          <cell r="E21" t="str">
            <v>Individual Contributor</v>
          </cell>
          <cell r="F21">
            <v>100</v>
          </cell>
          <cell r="G21" t="str">
            <v>Javier Martin</v>
          </cell>
          <cell r="H21" t="str">
            <v>Regular</v>
          </cell>
          <cell r="I21">
            <v>1</v>
          </cell>
          <cell r="J21">
            <v>1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1</v>
          </cell>
          <cell r="P21">
            <v>0</v>
          </cell>
          <cell r="Q21">
            <v>0</v>
          </cell>
        </row>
        <row r="22">
          <cell r="A22" t="str">
            <v>Anna Peterson</v>
          </cell>
          <cell r="B22" t="str">
            <v>Peterson</v>
          </cell>
          <cell r="C22" t="str">
            <v>Anna</v>
          </cell>
          <cell r="D22" t="str">
            <v>Campaign Management AMS</v>
          </cell>
          <cell r="E22" t="str">
            <v>Individual Contributor</v>
          </cell>
          <cell r="F22">
            <v>100</v>
          </cell>
          <cell r="G22" t="str">
            <v>Javier Martin</v>
          </cell>
          <cell r="H22" t="str">
            <v>Regular</v>
          </cell>
          <cell r="I22">
            <v>1</v>
          </cell>
          <cell r="J22">
            <v>0.3</v>
          </cell>
          <cell r="K22">
            <v>0</v>
          </cell>
          <cell r="L22">
            <v>0.7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</row>
        <row r="23">
          <cell r="A23" t="str">
            <v>Victor Lee</v>
          </cell>
          <cell r="B23" t="str">
            <v>Lee</v>
          </cell>
          <cell r="C23" t="str">
            <v>Victor</v>
          </cell>
          <cell r="D23" t="str">
            <v>Campaign Management AMS</v>
          </cell>
          <cell r="E23" t="str">
            <v>Individual Contributor</v>
          </cell>
          <cell r="F23">
            <v>100</v>
          </cell>
          <cell r="G23" t="str">
            <v>Javier Martin</v>
          </cell>
          <cell r="H23" t="str">
            <v>Regular</v>
          </cell>
          <cell r="I23">
            <v>1</v>
          </cell>
          <cell r="J23">
            <v>0.9</v>
          </cell>
          <cell r="K23">
            <v>0.09</v>
          </cell>
          <cell r="L23">
            <v>0.01</v>
          </cell>
          <cell r="M23">
            <v>0</v>
          </cell>
          <cell r="N23">
            <v>0</v>
          </cell>
          <cell r="O23">
            <v>1</v>
          </cell>
          <cell r="P23">
            <v>0</v>
          </cell>
          <cell r="Q23">
            <v>0</v>
          </cell>
        </row>
        <row r="24">
          <cell r="A24" t="str">
            <v>Ciera Lilly</v>
          </cell>
          <cell r="B24" t="str">
            <v>Lilly</v>
          </cell>
          <cell r="C24" t="str">
            <v>Ciera</v>
          </cell>
          <cell r="D24" t="str">
            <v>Campaign Management AMS</v>
          </cell>
          <cell r="E24" t="str">
            <v>Individual Contributor</v>
          </cell>
          <cell r="F24">
            <v>100</v>
          </cell>
          <cell r="G24" t="str">
            <v>Javier Martin</v>
          </cell>
          <cell r="H24" t="str">
            <v>Regular</v>
          </cell>
          <cell r="I24">
            <v>1</v>
          </cell>
          <cell r="J24">
            <v>0.4</v>
          </cell>
          <cell r="K24">
            <v>0.3</v>
          </cell>
          <cell r="L24">
            <v>0.3</v>
          </cell>
          <cell r="M24">
            <v>0</v>
          </cell>
          <cell r="N24">
            <v>0</v>
          </cell>
          <cell r="O24">
            <v>1</v>
          </cell>
          <cell r="P24">
            <v>0</v>
          </cell>
          <cell r="Q24">
            <v>0</v>
          </cell>
        </row>
        <row r="25">
          <cell r="A25" t="str">
            <v>Brandon Dowden</v>
          </cell>
          <cell r="B25" t="str">
            <v>Dowden</v>
          </cell>
          <cell r="C25" t="str">
            <v>Brandon</v>
          </cell>
          <cell r="D25" t="str">
            <v>Customer Success AMS</v>
          </cell>
          <cell r="E25" t="str">
            <v>Individual Contributor</v>
          </cell>
          <cell r="F25">
            <v>100</v>
          </cell>
          <cell r="G25" t="str">
            <v>Javier Martin</v>
          </cell>
          <cell r="H25" t="str">
            <v>Regular</v>
          </cell>
          <cell r="I25">
            <v>1</v>
          </cell>
          <cell r="J25">
            <v>0</v>
          </cell>
          <cell r="K25">
            <v>0.13</v>
          </cell>
          <cell r="L25">
            <v>0.4</v>
          </cell>
          <cell r="M25">
            <v>0.24</v>
          </cell>
          <cell r="N25">
            <v>0.23</v>
          </cell>
          <cell r="O25">
            <v>0.35</v>
          </cell>
          <cell r="P25">
            <v>0</v>
          </cell>
          <cell r="Q25">
            <v>0.18</v>
          </cell>
        </row>
        <row r="26">
          <cell r="A26" t="str">
            <v>Alissa Pinkham</v>
          </cell>
          <cell r="B26" t="str">
            <v>Pinkham</v>
          </cell>
          <cell r="C26" t="str">
            <v>Alissa</v>
          </cell>
          <cell r="D26" t="str">
            <v>Customer Success AMS</v>
          </cell>
          <cell r="E26" t="str">
            <v>Individual Contributor</v>
          </cell>
          <cell r="F26">
            <v>100</v>
          </cell>
          <cell r="G26" t="str">
            <v>Javier Martin</v>
          </cell>
          <cell r="H26" t="str">
            <v>Regular</v>
          </cell>
          <cell r="I26">
            <v>1</v>
          </cell>
          <cell r="J26">
            <v>0.11</v>
          </cell>
          <cell r="K26">
            <v>0.08</v>
          </cell>
          <cell r="L26">
            <v>0.3</v>
          </cell>
          <cell r="M26">
            <v>0.32</v>
          </cell>
          <cell r="N26">
            <v>0.19</v>
          </cell>
          <cell r="O26">
            <v>0.55000000000000004</v>
          </cell>
          <cell r="P26">
            <v>0</v>
          </cell>
          <cell r="Q26">
            <v>0.25</v>
          </cell>
        </row>
        <row r="27">
          <cell r="A27" t="str">
            <v>Olivia Peterson</v>
          </cell>
          <cell r="B27" t="str">
            <v>Peterson</v>
          </cell>
          <cell r="C27" t="str">
            <v>Olivia</v>
          </cell>
          <cell r="D27" t="str">
            <v>Customer Success AMS</v>
          </cell>
          <cell r="E27" t="str">
            <v>Individual Contributor</v>
          </cell>
          <cell r="F27">
            <v>100</v>
          </cell>
          <cell r="G27" t="str">
            <v>Javier Martin</v>
          </cell>
          <cell r="H27" t="str">
            <v>Regular</v>
          </cell>
          <cell r="I27">
            <v>1</v>
          </cell>
          <cell r="J27">
            <v>0.7</v>
          </cell>
          <cell r="K27">
            <v>0.2</v>
          </cell>
          <cell r="L27">
            <v>0.1</v>
          </cell>
          <cell r="M27">
            <v>0</v>
          </cell>
          <cell r="N27">
            <v>0</v>
          </cell>
          <cell r="O27">
            <v>1</v>
          </cell>
          <cell r="P27">
            <v>0</v>
          </cell>
          <cell r="Q27">
            <v>0</v>
          </cell>
        </row>
        <row r="28">
          <cell r="A28" t="str">
            <v>Alisha Maeweather</v>
          </cell>
          <cell r="B28" t="str">
            <v>Maeweather</v>
          </cell>
          <cell r="C28" t="str">
            <v>Alisha</v>
          </cell>
          <cell r="D28" t="str">
            <v>Customer Success AMS</v>
          </cell>
          <cell r="E28" t="str">
            <v>Individual Contributor</v>
          </cell>
          <cell r="F28">
            <v>100</v>
          </cell>
          <cell r="G28" t="str">
            <v>Javier Martin</v>
          </cell>
          <cell r="H28" t="str">
            <v>Regular</v>
          </cell>
          <cell r="I28">
            <v>1</v>
          </cell>
          <cell r="J28">
            <v>0.11</v>
          </cell>
          <cell r="K28">
            <v>0.22</v>
          </cell>
          <cell r="L28">
            <v>0.35</v>
          </cell>
          <cell r="M28">
            <v>0.28000000000000003</v>
          </cell>
          <cell r="N28">
            <v>0.04</v>
          </cell>
          <cell r="O28">
            <v>0.2</v>
          </cell>
          <cell r="P28">
            <v>0</v>
          </cell>
          <cell r="Q28">
            <v>0</v>
          </cell>
        </row>
        <row r="29">
          <cell r="A29" t="str">
            <v>Nikki Adrian</v>
          </cell>
          <cell r="B29" t="str">
            <v>Adrian</v>
          </cell>
          <cell r="C29" t="str">
            <v>Nikki</v>
          </cell>
          <cell r="D29" t="str">
            <v>Customer Success AMS</v>
          </cell>
          <cell r="E29" t="str">
            <v>Individual Contributor</v>
          </cell>
          <cell r="F29">
            <v>100</v>
          </cell>
          <cell r="G29" t="str">
            <v>Javier Martin</v>
          </cell>
          <cell r="H29" t="str">
            <v>Regular</v>
          </cell>
          <cell r="I29">
            <v>1</v>
          </cell>
          <cell r="J29">
            <v>0.06</v>
          </cell>
          <cell r="K29">
            <v>0.4</v>
          </cell>
          <cell r="L29">
            <v>0.34</v>
          </cell>
          <cell r="M29">
            <v>0.2</v>
          </cell>
          <cell r="N29">
            <v>0</v>
          </cell>
          <cell r="O29">
            <v>1</v>
          </cell>
          <cell r="P29">
            <v>0</v>
          </cell>
          <cell r="Q29">
            <v>0</v>
          </cell>
        </row>
        <row r="30">
          <cell r="A30" t="str">
            <v>Edward Pizarro</v>
          </cell>
          <cell r="B30" t="str">
            <v>Pizarro</v>
          </cell>
          <cell r="C30" t="str">
            <v>Edward</v>
          </cell>
          <cell r="D30" t="str">
            <v>Customer Success AMS</v>
          </cell>
          <cell r="E30" t="str">
            <v>Individual Contributor</v>
          </cell>
          <cell r="F30">
            <v>100</v>
          </cell>
          <cell r="G30" t="str">
            <v>Javier Martin</v>
          </cell>
          <cell r="H30" t="str">
            <v>Regular</v>
          </cell>
          <cell r="I30">
            <v>1</v>
          </cell>
          <cell r="J30">
            <v>0.04</v>
          </cell>
          <cell r="K30">
            <v>0.22</v>
          </cell>
          <cell r="L30">
            <v>0.13</v>
          </cell>
          <cell r="M30">
            <v>0.5</v>
          </cell>
          <cell r="N30">
            <v>0.11</v>
          </cell>
          <cell r="O30">
            <v>1</v>
          </cell>
          <cell r="P30">
            <v>0</v>
          </cell>
          <cell r="Q30">
            <v>0</v>
          </cell>
        </row>
        <row r="31">
          <cell r="A31" t="str">
            <v>Shannon Feng</v>
          </cell>
          <cell r="B31" t="str">
            <v>Feng</v>
          </cell>
          <cell r="C31" t="str">
            <v>Shannon</v>
          </cell>
          <cell r="D31" t="str">
            <v>Customer Success AMS</v>
          </cell>
          <cell r="E31" t="str">
            <v>Individual Contributor</v>
          </cell>
          <cell r="F31">
            <v>100</v>
          </cell>
          <cell r="G31" t="str">
            <v>Javier Martin</v>
          </cell>
          <cell r="H31" t="str">
            <v>Regular</v>
          </cell>
          <cell r="I31">
            <v>1</v>
          </cell>
          <cell r="J31">
            <v>0.95</v>
          </cell>
          <cell r="K31">
            <v>0.05</v>
          </cell>
          <cell r="L31">
            <v>0</v>
          </cell>
          <cell r="M31">
            <v>0</v>
          </cell>
          <cell r="N31">
            <v>0</v>
          </cell>
          <cell r="O31">
            <v>1</v>
          </cell>
          <cell r="P31">
            <v>0</v>
          </cell>
          <cell r="Q31">
            <v>0</v>
          </cell>
        </row>
        <row r="32">
          <cell r="A32" t="str">
            <v>Augusto Fornitani</v>
          </cell>
          <cell r="B32" t="str">
            <v>Fornitani</v>
          </cell>
          <cell r="C32" t="str">
            <v>Augusto</v>
          </cell>
          <cell r="D32" t="str">
            <v>TS AMS</v>
          </cell>
          <cell r="E32" t="str">
            <v>Manager</v>
          </cell>
          <cell r="F32">
            <v>100</v>
          </cell>
          <cell r="G32" t="str">
            <v>Javier Martin</v>
          </cell>
          <cell r="H32" t="str">
            <v>Regular</v>
          </cell>
          <cell r="I32">
            <v>1</v>
          </cell>
          <cell r="J32">
            <v>0.3</v>
          </cell>
          <cell r="K32">
            <v>0.3</v>
          </cell>
          <cell r="L32">
            <v>0.3</v>
          </cell>
          <cell r="M32">
            <v>0.05</v>
          </cell>
          <cell r="N32">
            <v>0.05</v>
          </cell>
          <cell r="O32">
            <v>0.8</v>
          </cell>
          <cell r="P32">
            <v>0</v>
          </cell>
          <cell r="Q32">
            <v>0.5</v>
          </cell>
        </row>
        <row r="33">
          <cell r="A33" t="str">
            <v>Ben Shain</v>
          </cell>
          <cell r="B33" t="str">
            <v>Shain</v>
          </cell>
          <cell r="C33" t="str">
            <v>Ben</v>
          </cell>
          <cell r="D33" t="str">
            <v>TS AMS</v>
          </cell>
          <cell r="E33" t="str">
            <v>Manager</v>
          </cell>
          <cell r="F33">
            <v>100</v>
          </cell>
          <cell r="G33" t="str">
            <v>Javier Martin</v>
          </cell>
          <cell r="H33" t="str">
            <v>Regular</v>
          </cell>
          <cell r="I33">
            <v>1</v>
          </cell>
          <cell r="J33">
            <v>0.55000000000000004</v>
          </cell>
          <cell r="K33">
            <v>0.25</v>
          </cell>
          <cell r="L33">
            <v>0.15</v>
          </cell>
          <cell r="M33">
            <v>0.05</v>
          </cell>
          <cell r="N33">
            <v>0</v>
          </cell>
          <cell r="O33">
            <v>0.95</v>
          </cell>
          <cell r="P33">
            <v>0</v>
          </cell>
          <cell r="Q33">
            <v>0.05</v>
          </cell>
        </row>
        <row r="34">
          <cell r="A34" t="str">
            <v>Sameh Kinawy</v>
          </cell>
          <cell r="B34" t="str">
            <v>Kinawy</v>
          </cell>
          <cell r="C34" t="str">
            <v>Sameh</v>
          </cell>
          <cell r="D34" t="str">
            <v>TO AMS</v>
          </cell>
          <cell r="E34" t="str">
            <v>Manager</v>
          </cell>
          <cell r="F34">
            <v>100</v>
          </cell>
          <cell r="G34" t="str">
            <v>Javier Martin</v>
          </cell>
          <cell r="H34" t="str">
            <v>Regular</v>
          </cell>
          <cell r="I34">
            <v>1</v>
          </cell>
          <cell r="J34">
            <v>0.25</v>
          </cell>
          <cell r="K34">
            <v>0.25</v>
          </cell>
          <cell r="L34">
            <v>0.25</v>
          </cell>
          <cell r="M34">
            <v>0.25</v>
          </cell>
          <cell r="N34">
            <v>0</v>
          </cell>
          <cell r="O34">
            <v>0.8</v>
          </cell>
          <cell r="P34">
            <v>0</v>
          </cell>
          <cell r="Q34">
            <v>0.8</v>
          </cell>
        </row>
        <row r="35">
          <cell r="A35" t="str">
            <v>Christopher Guido</v>
          </cell>
          <cell r="B35" t="str">
            <v>Guido</v>
          </cell>
          <cell r="C35" t="str">
            <v>Christopher</v>
          </cell>
          <cell r="D35" t="str">
            <v>TS AMS</v>
          </cell>
          <cell r="E35" t="str">
            <v>Manager</v>
          </cell>
          <cell r="F35">
            <v>100</v>
          </cell>
          <cell r="G35" t="str">
            <v>Javier Martin</v>
          </cell>
          <cell r="H35" t="str">
            <v>Regular</v>
          </cell>
          <cell r="I35">
            <v>1</v>
          </cell>
          <cell r="J35">
            <v>0.35</v>
          </cell>
          <cell r="K35">
            <v>0.3</v>
          </cell>
          <cell r="L35">
            <v>0.2</v>
          </cell>
          <cell r="M35">
            <v>0.1</v>
          </cell>
          <cell r="N35">
            <v>0.05</v>
          </cell>
          <cell r="O35">
            <v>0.8</v>
          </cell>
          <cell r="P35">
            <v>0</v>
          </cell>
          <cell r="Q35">
            <v>0.5</v>
          </cell>
        </row>
        <row r="36">
          <cell r="A36" t="str">
            <v>Mike Whatley</v>
          </cell>
          <cell r="B36" t="str">
            <v>Whatley</v>
          </cell>
          <cell r="C36" t="str">
            <v>Mike</v>
          </cell>
          <cell r="D36" t="str">
            <v>TS AMS</v>
          </cell>
          <cell r="E36" t="str">
            <v>Individual Contributor</v>
          </cell>
          <cell r="F36">
            <v>100</v>
          </cell>
          <cell r="G36" t="str">
            <v>Javier Martin</v>
          </cell>
          <cell r="H36" t="str">
            <v>Regular</v>
          </cell>
          <cell r="I36">
            <v>1</v>
          </cell>
          <cell r="J36">
            <v>0.4</v>
          </cell>
          <cell r="K36">
            <v>0.4</v>
          </cell>
          <cell r="L36">
            <v>0.1</v>
          </cell>
          <cell r="M36">
            <v>0.05</v>
          </cell>
          <cell r="N36">
            <v>0.05</v>
          </cell>
          <cell r="O36">
            <v>0.2</v>
          </cell>
          <cell r="P36">
            <v>0</v>
          </cell>
          <cell r="Q36">
            <v>0.05</v>
          </cell>
        </row>
        <row r="37">
          <cell r="A37" t="str">
            <v>Aryaa Sahasrabuddhe</v>
          </cell>
          <cell r="B37" t="str">
            <v>Sahasrabuddhe</v>
          </cell>
          <cell r="C37" t="str">
            <v>Aryaa</v>
          </cell>
          <cell r="D37" t="str">
            <v>TS AMS</v>
          </cell>
          <cell r="E37" t="str">
            <v>Individual Contributor</v>
          </cell>
          <cell r="F37">
            <v>100</v>
          </cell>
          <cell r="G37" t="str">
            <v>Javier Martin</v>
          </cell>
          <cell r="H37" t="str">
            <v>Regular</v>
          </cell>
          <cell r="I37">
            <v>1</v>
          </cell>
          <cell r="J37">
            <v>0.5</v>
          </cell>
          <cell r="K37">
            <v>0.45</v>
          </cell>
          <cell r="L37">
            <v>0.05</v>
          </cell>
          <cell r="M37">
            <v>0</v>
          </cell>
          <cell r="N37">
            <v>0</v>
          </cell>
          <cell r="O37">
            <v>0.95</v>
          </cell>
          <cell r="P37">
            <v>0</v>
          </cell>
          <cell r="Q37">
            <v>0.05</v>
          </cell>
        </row>
        <row r="38">
          <cell r="A38" t="str">
            <v>Rob Maskrey</v>
          </cell>
          <cell r="B38" t="str">
            <v>Maskrey</v>
          </cell>
          <cell r="C38" t="str">
            <v>Rob</v>
          </cell>
          <cell r="D38" t="str">
            <v>TS AMS</v>
          </cell>
          <cell r="E38" t="str">
            <v>Individual Contributor</v>
          </cell>
          <cell r="F38">
            <v>100</v>
          </cell>
          <cell r="G38" t="str">
            <v>Javier Martin</v>
          </cell>
          <cell r="H38" t="str">
            <v>Regular</v>
          </cell>
          <cell r="I38">
            <v>1</v>
          </cell>
          <cell r="J38">
            <v>0.65</v>
          </cell>
          <cell r="K38">
            <v>0.25</v>
          </cell>
          <cell r="L38">
            <v>0.1</v>
          </cell>
          <cell r="M38">
            <v>0</v>
          </cell>
          <cell r="N38">
            <v>0</v>
          </cell>
          <cell r="O38">
            <v>0.95</v>
          </cell>
          <cell r="P38">
            <v>0</v>
          </cell>
          <cell r="Q38">
            <v>0.05</v>
          </cell>
        </row>
        <row r="39">
          <cell r="A39" t="str">
            <v>Simon Chen</v>
          </cell>
          <cell r="B39" t="str">
            <v>Chen</v>
          </cell>
          <cell r="C39" t="str">
            <v>Simon</v>
          </cell>
          <cell r="D39" t="str">
            <v>TO AMS</v>
          </cell>
          <cell r="E39" t="str">
            <v>Individual Contributor</v>
          </cell>
          <cell r="F39">
            <v>100</v>
          </cell>
          <cell r="G39" t="str">
            <v>Javier Martin</v>
          </cell>
          <cell r="H39" t="str">
            <v>Regular</v>
          </cell>
          <cell r="I39">
            <v>1</v>
          </cell>
          <cell r="J39">
            <v>0.05</v>
          </cell>
          <cell r="K39">
            <v>0.05</v>
          </cell>
          <cell r="L39">
            <v>0.8</v>
          </cell>
          <cell r="M39">
            <v>0.1</v>
          </cell>
          <cell r="N39">
            <v>0</v>
          </cell>
          <cell r="O39">
            <v>0.8</v>
          </cell>
          <cell r="P39">
            <v>0</v>
          </cell>
          <cell r="Q39">
            <v>0.8</v>
          </cell>
        </row>
        <row r="40">
          <cell r="A40" t="str">
            <v>Lucas Pinheiro Costa</v>
          </cell>
          <cell r="B40" t="str">
            <v>Costa</v>
          </cell>
          <cell r="C40" t="str">
            <v>Lucas</v>
          </cell>
          <cell r="D40" t="str">
            <v>TS AMS</v>
          </cell>
          <cell r="E40" t="str">
            <v>Individual Contributor</v>
          </cell>
          <cell r="F40">
            <v>100</v>
          </cell>
          <cell r="G40" t="str">
            <v>Javier Martin</v>
          </cell>
          <cell r="H40" t="str">
            <v>Regular</v>
          </cell>
          <cell r="I40">
            <v>1</v>
          </cell>
          <cell r="J40">
            <v>0.15</v>
          </cell>
          <cell r="K40">
            <v>0.15</v>
          </cell>
          <cell r="L40">
            <v>0.2</v>
          </cell>
          <cell r="M40">
            <v>0.45</v>
          </cell>
          <cell r="N40">
            <v>0.05</v>
          </cell>
          <cell r="O40">
            <v>0.95</v>
          </cell>
          <cell r="P40">
            <v>0</v>
          </cell>
          <cell r="Q40">
            <v>0.05</v>
          </cell>
        </row>
        <row r="41">
          <cell r="A41" t="str">
            <v>Michele Gao</v>
          </cell>
          <cell r="B41" t="str">
            <v>Gao</v>
          </cell>
          <cell r="C41" t="str">
            <v>Michele</v>
          </cell>
          <cell r="D41" t="str">
            <v>TO AMS</v>
          </cell>
          <cell r="E41" t="str">
            <v>Individual Contributor</v>
          </cell>
          <cell r="F41">
            <v>100</v>
          </cell>
          <cell r="G41" t="str">
            <v>Javier Martin</v>
          </cell>
          <cell r="H41" t="str">
            <v>Regular</v>
          </cell>
          <cell r="I41">
            <v>1</v>
          </cell>
          <cell r="J41">
            <v>0.05</v>
          </cell>
          <cell r="K41">
            <v>0.05</v>
          </cell>
          <cell r="L41">
            <v>0.1</v>
          </cell>
          <cell r="M41">
            <v>0.8</v>
          </cell>
          <cell r="N41">
            <v>0</v>
          </cell>
          <cell r="O41">
            <v>0.8</v>
          </cell>
          <cell r="P41">
            <v>0</v>
          </cell>
          <cell r="Q41">
            <v>0.8</v>
          </cell>
        </row>
        <row r="42">
          <cell r="A42" t="str">
            <v>Jessica Daeun Kim</v>
          </cell>
          <cell r="B42" t="str">
            <v>Daeun Kim</v>
          </cell>
          <cell r="C42" t="str">
            <v>Jessica</v>
          </cell>
          <cell r="D42" t="str">
            <v>TS AMS</v>
          </cell>
          <cell r="E42" t="str">
            <v>Individual Contributor</v>
          </cell>
          <cell r="F42">
            <v>100</v>
          </cell>
          <cell r="G42" t="str">
            <v>Javier Martin</v>
          </cell>
          <cell r="H42" t="str">
            <v>Regular</v>
          </cell>
          <cell r="I42">
            <v>1</v>
          </cell>
          <cell r="J42">
            <v>0.05</v>
          </cell>
          <cell r="K42">
            <v>0.1</v>
          </cell>
          <cell r="L42">
            <v>0.4</v>
          </cell>
          <cell r="M42">
            <v>0.4</v>
          </cell>
          <cell r="N42">
            <v>0.05</v>
          </cell>
          <cell r="O42">
            <v>0.8</v>
          </cell>
          <cell r="P42">
            <v>0</v>
          </cell>
          <cell r="Q42">
            <v>0.8</v>
          </cell>
        </row>
        <row r="43">
          <cell r="A43" t="str">
            <v>Alex Mota Almeida</v>
          </cell>
          <cell r="B43" t="str">
            <v>Almeida</v>
          </cell>
          <cell r="C43" t="str">
            <v>Alex</v>
          </cell>
          <cell r="D43" t="str">
            <v>TS AMS</v>
          </cell>
          <cell r="E43" t="str">
            <v>Individual Contributor</v>
          </cell>
          <cell r="F43">
            <v>100</v>
          </cell>
          <cell r="G43" t="str">
            <v>Javier Martin</v>
          </cell>
          <cell r="H43" t="str">
            <v>Intern</v>
          </cell>
          <cell r="I43">
            <v>1</v>
          </cell>
          <cell r="J43">
            <v>0</v>
          </cell>
          <cell r="K43">
            <v>0</v>
          </cell>
          <cell r="L43">
            <v>0.1</v>
          </cell>
          <cell r="M43">
            <v>0.7</v>
          </cell>
          <cell r="N43">
            <v>0.2</v>
          </cell>
          <cell r="O43">
            <v>0.9</v>
          </cell>
          <cell r="P43">
            <v>0</v>
          </cell>
          <cell r="Q43">
            <v>0.9</v>
          </cell>
        </row>
        <row r="44">
          <cell r="A44" t="str">
            <v>Rafael Costrov</v>
          </cell>
          <cell r="B44" t="str">
            <v>Costrov</v>
          </cell>
          <cell r="C44" t="str">
            <v>Rafael</v>
          </cell>
          <cell r="D44" t="str">
            <v>TS AMS</v>
          </cell>
          <cell r="E44" t="str">
            <v>Individual Contributor</v>
          </cell>
          <cell r="F44">
            <v>100</v>
          </cell>
          <cell r="G44" t="str">
            <v>Javier Martin</v>
          </cell>
          <cell r="H44" t="str">
            <v>Intern</v>
          </cell>
          <cell r="I44">
            <v>1</v>
          </cell>
          <cell r="J44">
            <v>0</v>
          </cell>
          <cell r="K44">
            <v>0</v>
          </cell>
          <cell r="L44">
            <v>0.1</v>
          </cell>
          <cell r="M44">
            <v>0.7</v>
          </cell>
          <cell r="N44">
            <v>0.2</v>
          </cell>
          <cell r="O44">
            <v>0.9</v>
          </cell>
          <cell r="P44">
            <v>0</v>
          </cell>
          <cell r="Q44">
            <v>0.9</v>
          </cell>
        </row>
        <row r="45">
          <cell r="A45" t="str">
            <v>Christopher Berry</v>
          </cell>
          <cell r="B45" t="str">
            <v>Berry</v>
          </cell>
          <cell r="C45" t="str">
            <v>Christopher</v>
          </cell>
          <cell r="D45" t="str">
            <v>TS AMS</v>
          </cell>
          <cell r="E45" t="str">
            <v>Individual Contributor</v>
          </cell>
          <cell r="F45">
            <v>100</v>
          </cell>
          <cell r="G45" t="str">
            <v>Javier Martin</v>
          </cell>
          <cell r="H45" t="str">
            <v>Regular</v>
          </cell>
          <cell r="I45">
            <v>1</v>
          </cell>
          <cell r="J45">
            <v>0.95</v>
          </cell>
          <cell r="K45">
            <v>0.05</v>
          </cell>
          <cell r="L45">
            <v>0</v>
          </cell>
          <cell r="M45">
            <v>0</v>
          </cell>
          <cell r="N45">
            <v>0</v>
          </cell>
          <cell r="O45">
            <v>0.95</v>
          </cell>
          <cell r="P45">
            <v>0</v>
          </cell>
          <cell r="Q45">
            <v>0.05</v>
          </cell>
        </row>
        <row r="46">
          <cell r="A46" t="str">
            <v>Raul Montero</v>
          </cell>
          <cell r="B46" t="str">
            <v>Montero</v>
          </cell>
          <cell r="C46" t="str">
            <v>Raul</v>
          </cell>
          <cell r="D46" t="str">
            <v>TS AMS</v>
          </cell>
          <cell r="E46" t="str">
            <v>Individual Contributor</v>
          </cell>
          <cell r="F46">
            <v>100</v>
          </cell>
          <cell r="G46" t="str">
            <v>Javier Martin</v>
          </cell>
          <cell r="H46" t="str">
            <v>Regular</v>
          </cell>
          <cell r="I46">
            <v>1</v>
          </cell>
          <cell r="J46">
            <v>0.65</v>
          </cell>
          <cell r="K46">
            <v>0.3</v>
          </cell>
          <cell r="L46">
            <v>0.05</v>
          </cell>
          <cell r="M46">
            <v>0</v>
          </cell>
          <cell r="N46">
            <v>0</v>
          </cell>
          <cell r="O46">
            <v>0.95</v>
          </cell>
          <cell r="P46">
            <v>0</v>
          </cell>
          <cell r="Q46">
            <v>0.05</v>
          </cell>
        </row>
        <row r="47">
          <cell r="A47" t="str">
            <v>Alice Joo</v>
          </cell>
          <cell r="B47" t="str">
            <v>Joo</v>
          </cell>
          <cell r="C47" t="str">
            <v>Alice</v>
          </cell>
          <cell r="D47" t="str">
            <v>TS AMS</v>
          </cell>
          <cell r="E47" t="str">
            <v>Individual Contributor</v>
          </cell>
          <cell r="F47">
            <v>100</v>
          </cell>
          <cell r="G47" t="str">
            <v>Javier Martin</v>
          </cell>
          <cell r="H47" t="str">
            <v>Regular</v>
          </cell>
          <cell r="I47">
            <v>1</v>
          </cell>
          <cell r="J47">
            <v>0.7</v>
          </cell>
          <cell r="K47">
            <v>0.25</v>
          </cell>
          <cell r="L47">
            <v>0.05</v>
          </cell>
          <cell r="M47">
            <v>0</v>
          </cell>
          <cell r="N47">
            <v>0</v>
          </cell>
          <cell r="O47">
            <v>0.95</v>
          </cell>
          <cell r="P47">
            <v>0</v>
          </cell>
          <cell r="Q47">
            <v>0.05</v>
          </cell>
        </row>
        <row r="48">
          <cell r="A48" t="str">
            <v>Austin Wong</v>
          </cell>
          <cell r="B48" t="str">
            <v>Wong</v>
          </cell>
          <cell r="C48" t="str">
            <v>Austin</v>
          </cell>
          <cell r="D48" t="str">
            <v>TO AMS</v>
          </cell>
          <cell r="E48" t="str">
            <v>Individual Contributor</v>
          </cell>
          <cell r="F48">
            <v>100</v>
          </cell>
          <cell r="G48" t="str">
            <v>Javier Martin</v>
          </cell>
          <cell r="H48" t="str">
            <v>Regular</v>
          </cell>
          <cell r="I48">
            <v>1</v>
          </cell>
          <cell r="J48">
            <v>0.05</v>
          </cell>
          <cell r="K48">
            <v>0.05</v>
          </cell>
          <cell r="L48">
            <v>0.8</v>
          </cell>
          <cell r="M48">
            <v>0.1</v>
          </cell>
          <cell r="N48">
            <v>0</v>
          </cell>
          <cell r="O48">
            <v>0.8</v>
          </cell>
          <cell r="P48">
            <v>0</v>
          </cell>
          <cell r="Q48">
            <v>0.8</v>
          </cell>
        </row>
        <row r="49">
          <cell r="A49" t="str">
            <v>Tharcísio Nogueira</v>
          </cell>
          <cell r="B49" t="str">
            <v>Nogueira</v>
          </cell>
          <cell r="C49" t="str">
            <v>Tharcísio</v>
          </cell>
          <cell r="D49" t="str">
            <v>TS AMS</v>
          </cell>
          <cell r="E49" t="str">
            <v>Individual Contributor</v>
          </cell>
          <cell r="F49">
            <v>100</v>
          </cell>
          <cell r="G49" t="str">
            <v>Javier Martin</v>
          </cell>
          <cell r="H49" t="str">
            <v>Regular</v>
          </cell>
          <cell r="I49">
            <v>1</v>
          </cell>
          <cell r="J49">
            <v>0.33</v>
          </cell>
          <cell r="K49">
            <v>0.33</v>
          </cell>
          <cell r="L49">
            <v>0.34</v>
          </cell>
          <cell r="M49">
            <v>0</v>
          </cell>
          <cell r="N49">
            <v>0</v>
          </cell>
          <cell r="O49">
            <v>0.95</v>
          </cell>
          <cell r="P49">
            <v>0</v>
          </cell>
          <cell r="Q49">
            <v>0.05</v>
          </cell>
        </row>
        <row r="50">
          <cell r="A50" t="str">
            <v>Marc ARCAS DIAZ</v>
          </cell>
          <cell r="B50" t="str">
            <v>ARCAS</v>
          </cell>
          <cell r="C50" t="str">
            <v>Marc</v>
          </cell>
          <cell r="D50" t="str">
            <v>TS EMEA</v>
          </cell>
          <cell r="E50" t="str">
            <v>Manager</v>
          </cell>
          <cell r="F50">
            <v>100</v>
          </cell>
          <cell r="G50" t="str">
            <v>Javier Martin</v>
          </cell>
          <cell r="H50" t="str">
            <v>Regular</v>
          </cell>
          <cell r="I50">
            <v>1</v>
          </cell>
          <cell r="J50">
            <v>0.25</v>
          </cell>
          <cell r="K50">
            <v>0.14000000000000001</v>
          </cell>
          <cell r="L50">
            <v>0.4</v>
          </cell>
          <cell r="M50">
            <v>0.21</v>
          </cell>
          <cell r="N50">
            <v>0</v>
          </cell>
          <cell r="O50">
            <v>0.7</v>
          </cell>
          <cell r="P50"/>
          <cell r="Q50"/>
        </row>
        <row r="51">
          <cell r="A51" t="str">
            <v>Clément Vallat</v>
          </cell>
          <cell r="B51" t="str">
            <v>Vallat</v>
          </cell>
          <cell r="C51" t="str">
            <v>Clément</v>
          </cell>
          <cell r="D51" t="str">
            <v>TS EMEA</v>
          </cell>
          <cell r="E51" t="str">
            <v>Manager</v>
          </cell>
          <cell r="F51">
            <v>100</v>
          </cell>
          <cell r="G51" t="str">
            <v>Javier Martin</v>
          </cell>
          <cell r="H51" t="str">
            <v>Regular</v>
          </cell>
          <cell r="I51">
            <v>1</v>
          </cell>
          <cell r="J51">
            <v>0.25</v>
          </cell>
          <cell r="K51">
            <v>0.14000000000000001</v>
          </cell>
          <cell r="L51">
            <v>0.4</v>
          </cell>
          <cell r="M51">
            <v>0.21</v>
          </cell>
          <cell r="N51">
            <v>0</v>
          </cell>
          <cell r="O51">
            <v>0.7</v>
          </cell>
          <cell r="P51"/>
          <cell r="Q51"/>
        </row>
        <row r="52">
          <cell r="A52" t="str">
            <v>Cristian Cernea Corbeanu</v>
          </cell>
          <cell r="B52" t="str">
            <v>Cernea</v>
          </cell>
          <cell r="C52" t="str">
            <v>Cristian</v>
          </cell>
          <cell r="D52" t="str">
            <v>TS EMEA</v>
          </cell>
          <cell r="E52" t="str">
            <v>Manager</v>
          </cell>
          <cell r="F52">
            <v>100</v>
          </cell>
          <cell r="G52" t="str">
            <v>Javier Martin</v>
          </cell>
          <cell r="H52" t="str">
            <v>Regular</v>
          </cell>
          <cell r="I52">
            <v>1</v>
          </cell>
          <cell r="J52">
            <v>0.25</v>
          </cell>
          <cell r="K52">
            <v>0.14000000000000001</v>
          </cell>
          <cell r="L52">
            <v>0.4</v>
          </cell>
          <cell r="M52">
            <v>0.21</v>
          </cell>
          <cell r="N52">
            <v>0</v>
          </cell>
          <cell r="O52">
            <v>0.7</v>
          </cell>
          <cell r="P52"/>
          <cell r="Q52"/>
        </row>
        <row r="53">
          <cell r="A53" t="str">
            <v>Michael Neundorf</v>
          </cell>
          <cell r="B53" t="str">
            <v>Neundorf</v>
          </cell>
          <cell r="C53" t="str">
            <v>Michael</v>
          </cell>
          <cell r="D53" t="str">
            <v>TS EMEA</v>
          </cell>
          <cell r="E53" t="str">
            <v>Individual Contributor</v>
          </cell>
          <cell r="F53">
            <v>100</v>
          </cell>
          <cell r="G53" t="str">
            <v>Javier Martin</v>
          </cell>
          <cell r="H53" t="str">
            <v>Regular</v>
          </cell>
          <cell r="I53">
            <v>1</v>
          </cell>
          <cell r="J53">
            <v>0.6</v>
          </cell>
          <cell r="K53">
            <v>0</v>
          </cell>
          <cell r="L53">
            <v>0.33</v>
          </cell>
          <cell r="M53">
            <v>7.0000000000000007E-2</v>
          </cell>
          <cell r="N53">
            <v>0</v>
          </cell>
          <cell r="O53">
            <v>1</v>
          </cell>
          <cell r="P53"/>
          <cell r="Q53"/>
        </row>
        <row r="54">
          <cell r="A54" t="str">
            <v>Elialba Rendiles Guerra</v>
          </cell>
          <cell r="B54" t="str">
            <v>Rendiles</v>
          </cell>
          <cell r="C54" t="str">
            <v>Elialba</v>
          </cell>
          <cell r="D54" t="str">
            <v>TS EMEA</v>
          </cell>
          <cell r="E54" t="str">
            <v>Individual Contributor</v>
          </cell>
          <cell r="F54">
            <v>100</v>
          </cell>
          <cell r="G54" t="str">
            <v>Javier Martin</v>
          </cell>
          <cell r="H54" t="str">
            <v>Regular</v>
          </cell>
          <cell r="I54">
            <v>1</v>
          </cell>
          <cell r="J54">
            <v>0.1</v>
          </cell>
          <cell r="K54">
            <v>0.1</v>
          </cell>
          <cell r="L54">
            <v>0.67</v>
          </cell>
          <cell r="M54">
            <v>0.13</v>
          </cell>
          <cell r="N54">
            <v>0</v>
          </cell>
          <cell r="O54">
            <v>0.6</v>
          </cell>
          <cell r="P54"/>
          <cell r="Q54"/>
        </row>
        <row r="55">
          <cell r="A55" t="str">
            <v>Veronika Jancso</v>
          </cell>
          <cell r="B55" t="str">
            <v>Jancso</v>
          </cell>
          <cell r="C55" t="str">
            <v>Veronika</v>
          </cell>
          <cell r="D55" t="str">
            <v>TS EMEA</v>
          </cell>
          <cell r="E55" t="str">
            <v>Individual Contributor</v>
          </cell>
          <cell r="F55">
            <v>100</v>
          </cell>
          <cell r="G55" t="str">
            <v>Javier Martin</v>
          </cell>
          <cell r="H55" t="str">
            <v>Regular</v>
          </cell>
          <cell r="I55">
            <v>1</v>
          </cell>
          <cell r="J55">
            <v>0.44</v>
          </cell>
          <cell r="K55">
            <v>0.11</v>
          </cell>
          <cell r="L55">
            <v>0.45</v>
          </cell>
          <cell r="M55">
            <v>0</v>
          </cell>
          <cell r="N55">
            <v>0</v>
          </cell>
          <cell r="O55">
            <v>1</v>
          </cell>
          <cell r="P55"/>
          <cell r="Q55"/>
        </row>
        <row r="56">
          <cell r="A56" t="str">
            <v>Adheel Barlas</v>
          </cell>
          <cell r="B56" t="str">
            <v>Barlas</v>
          </cell>
          <cell r="C56" t="str">
            <v>Adheel</v>
          </cell>
          <cell r="D56" t="str">
            <v>TS EMEA</v>
          </cell>
          <cell r="E56" t="str">
            <v>Individual Contributor</v>
          </cell>
          <cell r="F56">
            <v>100</v>
          </cell>
          <cell r="G56" t="str">
            <v>Javier Martin</v>
          </cell>
          <cell r="H56" t="str">
            <v>Regular</v>
          </cell>
          <cell r="I56">
            <v>1</v>
          </cell>
          <cell r="J56">
            <v>0.46</v>
          </cell>
          <cell r="K56">
            <v>0.23</v>
          </cell>
          <cell r="L56">
            <v>0.31</v>
          </cell>
          <cell r="M56">
            <v>0</v>
          </cell>
          <cell r="N56">
            <v>0</v>
          </cell>
          <cell r="O56">
            <v>1</v>
          </cell>
          <cell r="P56"/>
          <cell r="Q56"/>
        </row>
        <row r="57">
          <cell r="A57" t="str">
            <v>Aljoscha Zynga</v>
          </cell>
          <cell r="B57" t="str">
            <v>Zynga</v>
          </cell>
          <cell r="C57" t="str">
            <v>Aljoscha</v>
          </cell>
          <cell r="D57" t="str">
            <v>TS EMEA</v>
          </cell>
          <cell r="E57" t="str">
            <v>Individual Contributor</v>
          </cell>
          <cell r="F57">
            <v>100</v>
          </cell>
          <cell r="G57" t="str">
            <v>Javier Martin</v>
          </cell>
          <cell r="H57" t="str">
            <v>Regular</v>
          </cell>
          <cell r="I57">
            <v>1</v>
          </cell>
          <cell r="J57">
            <v>0.12</v>
          </cell>
          <cell r="K57">
            <v>0.25</v>
          </cell>
          <cell r="L57">
            <v>0.63</v>
          </cell>
          <cell r="M57">
            <v>0</v>
          </cell>
          <cell r="N57">
            <v>0</v>
          </cell>
          <cell r="O57">
            <v>1</v>
          </cell>
          <cell r="P57"/>
          <cell r="Q57"/>
        </row>
        <row r="58">
          <cell r="A58" t="str">
            <v>Adrien Charles Clesse</v>
          </cell>
          <cell r="B58" t="str">
            <v>Clesse</v>
          </cell>
          <cell r="C58" t="str">
            <v>Adrien Charles</v>
          </cell>
          <cell r="D58" t="str">
            <v>TS EMEA</v>
          </cell>
          <cell r="E58" t="str">
            <v>Individual Contributor</v>
          </cell>
          <cell r="F58">
            <v>100</v>
          </cell>
          <cell r="G58" t="str">
            <v>Javier Martin</v>
          </cell>
          <cell r="H58" t="str">
            <v>Regular</v>
          </cell>
          <cell r="I58">
            <v>1</v>
          </cell>
          <cell r="J58">
            <v>0</v>
          </cell>
          <cell r="K58">
            <v>0</v>
          </cell>
          <cell r="L58">
            <v>0.73</v>
          </cell>
          <cell r="M58">
            <v>0.27</v>
          </cell>
          <cell r="N58">
            <v>0</v>
          </cell>
          <cell r="O58">
            <v>0.3</v>
          </cell>
          <cell r="P58"/>
          <cell r="Q58"/>
        </row>
        <row r="59">
          <cell r="A59" t="str">
            <v>Dmitriy Andreevich Lazarev (Дмитрий Андреевич Лазарев)</v>
          </cell>
          <cell r="B59" t="str">
            <v>Lazarev</v>
          </cell>
          <cell r="C59" t="str">
            <v>Dmitriy</v>
          </cell>
          <cell r="D59" t="str">
            <v>TS EMEA</v>
          </cell>
          <cell r="E59" t="str">
            <v>Individual Contributor</v>
          </cell>
          <cell r="F59">
            <v>100</v>
          </cell>
          <cell r="G59" t="str">
            <v>Javier Martin</v>
          </cell>
          <cell r="H59" t="str">
            <v>Regular</v>
          </cell>
          <cell r="I59">
            <v>1</v>
          </cell>
          <cell r="J59">
            <v>0.33</v>
          </cell>
          <cell r="K59">
            <v>0</v>
          </cell>
          <cell r="L59">
            <v>0</v>
          </cell>
          <cell r="M59">
            <v>0.67</v>
          </cell>
          <cell r="N59">
            <v>0</v>
          </cell>
          <cell r="O59">
            <v>0.5</v>
          </cell>
          <cell r="P59"/>
          <cell r="Q59"/>
        </row>
        <row r="60">
          <cell r="A60" t="str">
            <v>Sergio Jimenez Fernandez</v>
          </cell>
          <cell r="B60" t="str">
            <v>Jimenez Fernandez</v>
          </cell>
          <cell r="C60" t="str">
            <v>Sergio</v>
          </cell>
          <cell r="D60" t="str">
            <v>TS EMEA</v>
          </cell>
          <cell r="E60" t="str">
            <v>Individual Contributor</v>
          </cell>
          <cell r="F60">
            <v>100</v>
          </cell>
          <cell r="G60" t="str">
            <v>Javier Martin</v>
          </cell>
          <cell r="H60" t="str">
            <v>Regular</v>
          </cell>
          <cell r="I60">
            <v>1</v>
          </cell>
          <cell r="J60">
            <v>0.75</v>
          </cell>
          <cell r="K60">
            <v>0</v>
          </cell>
          <cell r="L60">
            <v>0.25</v>
          </cell>
          <cell r="M60">
            <v>0</v>
          </cell>
          <cell r="N60">
            <v>0</v>
          </cell>
          <cell r="O60">
            <v>1</v>
          </cell>
          <cell r="P60"/>
          <cell r="Q60"/>
        </row>
        <row r="61">
          <cell r="A61" t="str">
            <v>Saskia Schanz (On Leave)</v>
          </cell>
          <cell r="B61" t="str">
            <v>Schanz</v>
          </cell>
          <cell r="C61" t="str">
            <v>Saskia</v>
          </cell>
          <cell r="D61" t="str">
            <v>TS EMEA</v>
          </cell>
          <cell r="E61" t="str">
            <v>Individual Contributor</v>
          </cell>
          <cell r="F61">
            <v>75</v>
          </cell>
          <cell r="G61" t="str">
            <v>Javier Martin</v>
          </cell>
          <cell r="H61" t="str">
            <v>Regular</v>
          </cell>
          <cell r="I61">
            <v>1</v>
          </cell>
          <cell r="J61">
            <v>0.35</v>
          </cell>
          <cell r="K61">
            <v>0.35</v>
          </cell>
          <cell r="L61">
            <v>0.3</v>
          </cell>
          <cell r="M61">
            <v>0</v>
          </cell>
          <cell r="N61">
            <v>0</v>
          </cell>
          <cell r="O61">
            <v>1</v>
          </cell>
          <cell r="P61"/>
          <cell r="Q61"/>
        </row>
        <row r="62">
          <cell r="A62" t="str">
            <v>David Hidalgo Ramos</v>
          </cell>
          <cell r="B62" t="str">
            <v>Hidalgo Ramos</v>
          </cell>
          <cell r="C62" t="str">
            <v>David</v>
          </cell>
          <cell r="D62" t="str">
            <v>TS EMEA</v>
          </cell>
          <cell r="E62" t="str">
            <v>Individual Contributor</v>
          </cell>
          <cell r="F62">
            <v>100</v>
          </cell>
          <cell r="G62" t="str">
            <v>Javier Martin</v>
          </cell>
          <cell r="H62" t="str">
            <v>Regular</v>
          </cell>
          <cell r="I62">
            <v>1</v>
          </cell>
          <cell r="J62">
            <v>0.24</v>
          </cell>
          <cell r="K62">
            <v>0.3</v>
          </cell>
          <cell r="L62">
            <v>0.46</v>
          </cell>
          <cell r="M62">
            <v>0</v>
          </cell>
          <cell r="N62">
            <v>0</v>
          </cell>
          <cell r="O62">
            <v>1</v>
          </cell>
          <cell r="P62"/>
          <cell r="Q62"/>
        </row>
        <row r="63">
          <cell r="A63" t="str">
            <v>Iván Benítez Martín (On Leave)</v>
          </cell>
          <cell r="B63" t="str">
            <v>Benítez</v>
          </cell>
          <cell r="C63" t="str">
            <v>Iván</v>
          </cell>
          <cell r="D63" t="str">
            <v>TS EMEA</v>
          </cell>
          <cell r="E63" t="str">
            <v>Individual Contributor</v>
          </cell>
          <cell r="F63">
            <v>0</v>
          </cell>
          <cell r="G63" t="str">
            <v>Javier Martin</v>
          </cell>
          <cell r="H63" t="str">
            <v>Regular</v>
          </cell>
          <cell r="I63">
            <v>1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/>
          <cell r="Q63"/>
        </row>
        <row r="64">
          <cell r="A64" t="str">
            <v>Joris Guihéneuf (On Leave)</v>
          </cell>
          <cell r="B64" t="str">
            <v>Guihéneuf</v>
          </cell>
          <cell r="C64" t="str">
            <v>Joris</v>
          </cell>
          <cell r="D64" t="str">
            <v>TS EMEA</v>
          </cell>
          <cell r="E64" t="str">
            <v>Individual Contributor</v>
          </cell>
          <cell r="F64">
            <v>0</v>
          </cell>
          <cell r="G64" t="str">
            <v>Javier Martin</v>
          </cell>
          <cell r="H64" t="str">
            <v>Regular</v>
          </cell>
          <cell r="I64">
            <v>1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/>
          <cell r="Q64"/>
        </row>
        <row r="65">
          <cell r="A65" t="str">
            <v>Alexandre Benavides Silva</v>
          </cell>
          <cell r="B65" t="str">
            <v>Benavides</v>
          </cell>
          <cell r="C65" t="str">
            <v>Alexandre</v>
          </cell>
          <cell r="D65" t="str">
            <v>TS EMEA</v>
          </cell>
          <cell r="E65" t="str">
            <v>Individual Contributor</v>
          </cell>
          <cell r="F65">
            <v>100</v>
          </cell>
          <cell r="G65" t="str">
            <v>Javier Martin</v>
          </cell>
          <cell r="H65" t="str">
            <v>Regular</v>
          </cell>
          <cell r="I65">
            <v>1</v>
          </cell>
          <cell r="J65">
            <v>0.03</v>
          </cell>
          <cell r="K65">
            <v>0.14000000000000001</v>
          </cell>
          <cell r="L65">
            <v>0.34</v>
          </cell>
          <cell r="M65">
            <v>0.49</v>
          </cell>
          <cell r="N65">
            <v>0</v>
          </cell>
          <cell r="O65">
            <v>0.5</v>
          </cell>
          <cell r="P65"/>
          <cell r="Q65"/>
        </row>
        <row r="66">
          <cell r="A66" t="str">
            <v>Bastien Berardi</v>
          </cell>
          <cell r="B66" t="str">
            <v>Berardi</v>
          </cell>
          <cell r="C66" t="str">
            <v>Bastien</v>
          </cell>
          <cell r="D66" t="str">
            <v>TS EMEA</v>
          </cell>
          <cell r="E66" t="str">
            <v>Individual Contributor</v>
          </cell>
          <cell r="F66">
            <v>100</v>
          </cell>
          <cell r="G66" t="str">
            <v>Javier Martin</v>
          </cell>
          <cell r="H66" t="str">
            <v>Regular</v>
          </cell>
          <cell r="I66">
            <v>1</v>
          </cell>
          <cell r="J66">
            <v>0.02</v>
          </cell>
          <cell r="K66">
            <v>0.25</v>
          </cell>
          <cell r="L66">
            <v>0.3</v>
          </cell>
          <cell r="M66">
            <v>0.43</v>
          </cell>
          <cell r="N66">
            <v>0</v>
          </cell>
          <cell r="O66">
            <v>0.5</v>
          </cell>
          <cell r="P66"/>
          <cell r="Q66"/>
        </row>
        <row r="67">
          <cell r="A67" t="str">
            <v>Fede Gomez</v>
          </cell>
          <cell r="B67" t="str">
            <v>Gomez</v>
          </cell>
          <cell r="C67" t="str">
            <v>Fede</v>
          </cell>
          <cell r="D67" t="str">
            <v>TS EMEA</v>
          </cell>
          <cell r="E67" t="str">
            <v>Individual Contributor</v>
          </cell>
          <cell r="F67">
            <v>100</v>
          </cell>
          <cell r="G67" t="str">
            <v>Javier Martin</v>
          </cell>
          <cell r="H67" t="str">
            <v>Regular</v>
          </cell>
          <cell r="I67">
            <v>1</v>
          </cell>
          <cell r="J67">
            <v>0.06</v>
          </cell>
          <cell r="K67">
            <v>0.4</v>
          </cell>
          <cell r="L67">
            <v>0.54</v>
          </cell>
          <cell r="M67">
            <v>0</v>
          </cell>
          <cell r="N67">
            <v>0</v>
          </cell>
          <cell r="O67">
            <v>0.8</v>
          </cell>
          <cell r="P67"/>
          <cell r="Q67"/>
        </row>
        <row r="68">
          <cell r="A68" t="str">
            <v>Jeffrey Bujawdeh</v>
          </cell>
          <cell r="B68" t="str">
            <v>Bujawdeh</v>
          </cell>
          <cell r="C68" t="str">
            <v>Jeffrey</v>
          </cell>
          <cell r="D68" t="str">
            <v>TS EMEA</v>
          </cell>
          <cell r="E68" t="str">
            <v>Individual Contributor</v>
          </cell>
          <cell r="F68">
            <v>100</v>
          </cell>
          <cell r="G68" t="str">
            <v>Javier Martin</v>
          </cell>
          <cell r="H68" t="str">
            <v>Regular</v>
          </cell>
          <cell r="I68">
            <v>1</v>
          </cell>
          <cell r="J68">
            <v>0.18</v>
          </cell>
          <cell r="K68">
            <v>0.06</v>
          </cell>
          <cell r="L68">
            <v>0.44</v>
          </cell>
          <cell r="M68">
            <v>0.32</v>
          </cell>
          <cell r="N68">
            <v>0</v>
          </cell>
          <cell r="O68">
            <v>0.5</v>
          </cell>
          <cell r="P68"/>
          <cell r="Q68"/>
        </row>
        <row r="69">
          <cell r="A69" t="str">
            <v>Antonello Martino de Carles</v>
          </cell>
          <cell r="B69" t="str">
            <v>Martino de Carles</v>
          </cell>
          <cell r="C69" t="str">
            <v>Antonello</v>
          </cell>
          <cell r="D69" t="str">
            <v>TS EMEA</v>
          </cell>
          <cell r="E69" t="str">
            <v>Individual Contributor</v>
          </cell>
          <cell r="F69">
            <v>100</v>
          </cell>
          <cell r="G69" t="str">
            <v>Javier Martin</v>
          </cell>
          <cell r="H69" t="str">
            <v>Regular</v>
          </cell>
          <cell r="I69">
            <v>1</v>
          </cell>
          <cell r="J69">
            <v>0.02</v>
          </cell>
          <cell r="K69">
            <v>0.08</v>
          </cell>
          <cell r="L69">
            <v>0.27</v>
          </cell>
          <cell r="M69">
            <v>0.63</v>
          </cell>
          <cell r="N69">
            <v>0</v>
          </cell>
          <cell r="O69">
            <v>0.2</v>
          </cell>
          <cell r="P69"/>
          <cell r="Q69"/>
        </row>
        <row r="70">
          <cell r="A70" t="str">
            <v>Laura Werling</v>
          </cell>
          <cell r="B70" t="str">
            <v>Werling</v>
          </cell>
          <cell r="C70" t="str">
            <v>Laura</v>
          </cell>
          <cell r="D70" t="str">
            <v>TS EMEA</v>
          </cell>
          <cell r="E70" t="str">
            <v>Individual Contributor</v>
          </cell>
          <cell r="F70">
            <v>90</v>
          </cell>
          <cell r="G70" t="str">
            <v>Javier Martin</v>
          </cell>
          <cell r="H70" t="str">
            <v>Regular</v>
          </cell>
          <cell r="I70">
            <v>1</v>
          </cell>
          <cell r="J70">
            <v>0.11</v>
          </cell>
          <cell r="K70">
            <v>0.11</v>
          </cell>
          <cell r="L70">
            <v>0.48</v>
          </cell>
          <cell r="M70">
            <v>0.3</v>
          </cell>
          <cell r="N70">
            <v>0</v>
          </cell>
          <cell r="O70">
            <v>0</v>
          </cell>
          <cell r="P70"/>
          <cell r="Q70"/>
        </row>
        <row r="71">
          <cell r="A71" t="str">
            <v>r20011</v>
          </cell>
          <cell r="D71" t="str">
            <v>TS EMEA</v>
          </cell>
          <cell r="E71" t="str">
            <v>Individual Contributor</v>
          </cell>
          <cell r="F71">
            <v>100</v>
          </cell>
          <cell r="G71" t="str">
            <v>Javier Martin</v>
          </cell>
          <cell r="H71" t="str">
            <v>Regular</v>
          </cell>
          <cell r="I71">
            <v>1</v>
          </cell>
          <cell r="J71">
            <v>0.18</v>
          </cell>
          <cell r="K71">
            <v>0.06</v>
          </cell>
          <cell r="L71">
            <v>0.44</v>
          </cell>
          <cell r="M71">
            <v>0.32</v>
          </cell>
          <cell r="N71">
            <v>0</v>
          </cell>
          <cell r="O71">
            <v>0.5</v>
          </cell>
          <cell r="P71"/>
          <cell r="Q71"/>
        </row>
        <row r="72">
          <cell r="A72" t="str">
            <v>r20381</v>
          </cell>
          <cell r="D72" t="str">
            <v>TS AMS</v>
          </cell>
          <cell r="E72" t="str">
            <v>Individual Contributor</v>
          </cell>
          <cell r="F72">
            <v>100</v>
          </cell>
          <cell r="G72" t="str">
            <v>Javier Martin</v>
          </cell>
          <cell r="H72" t="str">
            <v>Regular</v>
          </cell>
          <cell r="I72">
            <v>1</v>
          </cell>
          <cell r="J72">
            <v>0.6</v>
          </cell>
          <cell r="K72">
            <v>0.2</v>
          </cell>
          <cell r="L72">
            <v>0.2</v>
          </cell>
          <cell r="M72">
            <v>0</v>
          </cell>
          <cell r="N72">
            <v>0</v>
          </cell>
          <cell r="O72">
            <v>0.95</v>
          </cell>
          <cell r="P72">
            <v>0</v>
          </cell>
          <cell r="Q72">
            <v>0.05</v>
          </cell>
        </row>
        <row r="73">
          <cell r="A73" t="str">
            <v>Dominik Remplik</v>
          </cell>
          <cell r="B73" t="str">
            <v>Remplik</v>
          </cell>
          <cell r="C73" t="str">
            <v>Dominik</v>
          </cell>
          <cell r="D73" t="str">
            <v>AX EMEA</v>
          </cell>
          <cell r="E73" t="str">
            <v>Manager</v>
          </cell>
          <cell r="F73">
            <v>100</v>
          </cell>
          <cell r="G73" t="str">
            <v>Javier Martin</v>
          </cell>
          <cell r="H73" t="str">
            <v>Regular</v>
          </cell>
          <cell r="I73">
            <v>1</v>
          </cell>
          <cell r="J73">
            <v>0.65</v>
          </cell>
          <cell r="K73">
            <v>0.2</v>
          </cell>
          <cell r="L73">
            <v>0.15</v>
          </cell>
          <cell r="M73">
            <v>0</v>
          </cell>
          <cell r="N73"/>
          <cell r="O73">
            <v>1</v>
          </cell>
          <cell r="P73"/>
          <cell r="Q73">
            <v>0.1</v>
          </cell>
        </row>
        <row r="74">
          <cell r="A74" t="str">
            <v>Sonja Pause</v>
          </cell>
          <cell r="B74" t="str">
            <v>Pause</v>
          </cell>
          <cell r="C74" t="str">
            <v>Sonja</v>
          </cell>
          <cell r="D74" t="str">
            <v>AX EMEA</v>
          </cell>
          <cell r="E74" t="str">
            <v>Manager</v>
          </cell>
          <cell r="F74">
            <v>80</v>
          </cell>
          <cell r="G74" t="str">
            <v>Javier Martin</v>
          </cell>
          <cell r="H74" t="str">
            <v>Regular</v>
          </cell>
          <cell r="I74">
            <v>1</v>
          </cell>
          <cell r="J74">
            <v>0.7</v>
          </cell>
          <cell r="K74">
            <v>0.2</v>
          </cell>
          <cell r="L74">
            <v>0.1</v>
          </cell>
          <cell r="M74">
            <v>0</v>
          </cell>
          <cell r="N74"/>
          <cell r="O74">
            <v>0.55000000000000004</v>
          </cell>
          <cell r="P74"/>
          <cell r="Q74"/>
        </row>
        <row r="75">
          <cell r="A75" t="str">
            <v>Giulio Costantino D'Addario</v>
          </cell>
          <cell r="B75" t="str">
            <v>Costantino</v>
          </cell>
          <cell r="C75" t="str">
            <v>Giulio</v>
          </cell>
          <cell r="D75" t="str">
            <v>AX EMEA</v>
          </cell>
          <cell r="E75" t="str">
            <v>Manager</v>
          </cell>
          <cell r="F75">
            <v>100</v>
          </cell>
          <cell r="G75" t="str">
            <v>Javier Martin</v>
          </cell>
          <cell r="H75" t="str">
            <v>Regular</v>
          </cell>
          <cell r="I75">
            <v>1</v>
          </cell>
          <cell r="J75">
            <v>0.8</v>
          </cell>
          <cell r="K75">
            <v>0.2</v>
          </cell>
          <cell r="L75">
            <v>0</v>
          </cell>
          <cell r="M75">
            <v>0</v>
          </cell>
          <cell r="N75"/>
          <cell r="O75">
            <v>1</v>
          </cell>
          <cell r="P75"/>
          <cell r="Q75"/>
        </row>
        <row r="76">
          <cell r="A76" t="str">
            <v>Derick Leony Arreaga</v>
          </cell>
          <cell r="B76" t="str">
            <v>Leony</v>
          </cell>
          <cell r="C76" t="str">
            <v>Derick</v>
          </cell>
          <cell r="D76" t="str">
            <v>AX EMEA</v>
          </cell>
          <cell r="E76" t="str">
            <v>Manager</v>
          </cell>
          <cell r="F76">
            <v>100</v>
          </cell>
          <cell r="G76" t="str">
            <v>Javier Martin</v>
          </cell>
          <cell r="H76" t="str">
            <v>Regular</v>
          </cell>
          <cell r="I76">
            <v>1</v>
          </cell>
          <cell r="J76">
            <v>0.7</v>
          </cell>
          <cell r="K76">
            <v>0.2</v>
          </cell>
          <cell r="L76">
            <v>0.1</v>
          </cell>
          <cell r="M76">
            <v>0</v>
          </cell>
          <cell r="N76"/>
          <cell r="O76">
            <v>0.9</v>
          </cell>
          <cell r="P76"/>
          <cell r="Q76"/>
        </row>
        <row r="77">
          <cell r="A77" t="str">
            <v>Hedda Helen Svendsen</v>
          </cell>
          <cell r="B77" t="str">
            <v>Svendsen</v>
          </cell>
          <cell r="C77" t="str">
            <v>Hedda Helen</v>
          </cell>
          <cell r="D77" t="str">
            <v>AX EMEA</v>
          </cell>
          <cell r="E77" t="str">
            <v>Individual Contributor</v>
          </cell>
          <cell r="F77">
            <v>100</v>
          </cell>
          <cell r="G77" t="str">
            <v>Javier Martin</v>
          </cell>
          <cell r="H77" t="str">
            <v>Regular</v>
          </cell>
          <cell r="I77">
            <v>1</v>
          </cell>
          <cell r="J77">
            <v>0.6</v>
          </cell>
          <cell r="K77">
            <v>0.2</v>
          </cell>
          <cell r="L77">
            <v>0.2</v>
          </cell>
          <cell r="M77">
            <v>0</v>
          </cell>
          <cell r="N77"/>
          <cell r="O77">
            <v>0.2</v>
          </cell>
          <cell r="P77"/>
          <cell r="Q77"/>
        </row>
        <row r="78">
          <cell r="A78" t="str">
            <v>Óscar Sánchez Cornellà</v>
          </cell>
          <cell r="B78" t="str">
            <v>Sánchez Cornellà</v>
          </cell>
          <cell r="C78" t="str">
            <v>Óscar</v>
          </cell>
          <cell r="D78" t="str">
            <v>AX EMEA</v>
          </cell>
          <cell r="E78" t="str">
            <v>Individual Contributor</v>
          </cell>
          <cell r="F78">
            <v>100</v>
          </cell>
          <cell r="G78" t="str">
            <v>Javier Martin</v>
          </cell>
          <cell r="H78" t="str">
            <v>Regular</v>
          </cell>
          <cell r="I78">
            <v>1</v>
          </cell>
          <cell r="J78">
            <v>1</v>
          </cell>
          <cell r="K78">
            <v>0</v>
          </cell>
          <cell r="L78">
            <v>0</v>
          </cell>
          <cell r="M78">
            <v>0</v>
          </cell>
          <cell r="N78"/>
          <cell r="O78">
            <v>1</v>
          </cell>
          <cell r="P78"/>
          <cell r="Q78"/>
        </row>
        <row r="79">
          <cell r="A79" t="str">
            <v>Ildem Sanli</v>
          </cell>
          <cell r="B79" t="str">
            <v>Sanli</v>
          </cell>
          <cell r="C79" t="str">
            <v>Ildem</v>
          </cell>
          <cell r="D79" t="str">
            <v>AX EMEA</v>
          </cell>
          <cell r="E79" t="str">
            <v>Individual Contributor</v>
          </cell>
          <cell r="F79">
            <v>100</v>
          </cell>
          <cell r="G79" t="str">
            <v>Javier Martin</v>
          </cell>
          <cell r="H79" t="str">
            <v>Regular</v>
          </cell>
          <cell r="I79">
            <v>1</v>
          </cell>
          <cell r="J79">
            <v>0.5</v>
          </cell>
          <cell r="K79">
            <v>0.4</v>
          </cell>
          <cell r="L79">
            <v>0.1</v>
          </cell>
          <cell r="M79">
            <v>0</v>
          </cell>
          <cell r="N79"/>
          <cell r="O79">
            <v>1</v>
          </cell>
          <cell r="P79"/>
          <cell r="Q79">
            <v>0.1</v>
          </cell>
        </row>
        <row r="80">
          <cell r="A80" t="str">
            <v>Thomas Cattin MC</v>
          </cell>
          <cell r="B80" t="str">
            <v>Cattin MC</v>
          </cell>
          <cell r="C80" t="str">
            <v>Thomas</v>
          </cell>
          <cell r="D80" t="str">
            <v>AX EMEA</v>
          </cell>
          <cell r="E80" t="str">
            <v>Individual Contributor</v>
          </cell>
          <cell r="F80">
            <v>100</v>
          </cell>
          <cell r="G80" t="str">
            <v>Javier Martin</v>
          </cell>
          <cell r="H80" t="str">
            <v>Regular</v>
          </cell>
          <cell r="I80">
            <v>1</v>
          </cell>
          <cell r="J80">
            <v>0.35</v>
          </cell>
          <cell r="K80">
            <v>0.45</v>
          </cell>
          <cell r="L80">
            <v>0.2</v>
          </cell>
          <cell r="M80">
            <v>0</v>
          </cell>
          <cell r="N80"/>
          <cell r="O80">
            <v>0.35</v>
          </cell>
          <cell r="P80"/>
          <cell r="Q80"/>
        </row>
        <row r="81">
          <cell r="A81" t="str">
            <v>Àlex Valverde</v>
          </cell>
          <cell r="B81" t="str">
            <v>Valverde</v>
          </cell>
          <cell r="C81" t="str">
            <v>Àlex</v>
          </cell>
          <cell r="D81" t="str">
            <v>AX EMEA</v>
          </cell>
          <cell r="E81" t="str">
            <v>Individual Contributor</v>
          </cell>
          <cell r="F81">
            <v>100</v>
          </cell>
          <cell r="G81" t="str">
            <v>Javier Martin</v>
          </cell>
          <cell r="H81" t="str">
            <v>Regular</v>
          </cell>
          <cell r="I81">
            <v>1</v>
          </cell>
          <cell r="J81">
            <v>0.25</v>
          </cell>
          <cell r="K81">
            <v>0.35</v>
          </cell>
          <cell r="L81">
            <v>0.4</v>
          </cell>
          <cell r="M81">
            <v>0</v>
          </cell>
          <cell r="N81"/>
          <cell r="O81">
            <v>1</v>
          </cell>
          <cell r="P81"/>
          <cell r="Q81"/>
        </row>
        <row r="82">
          <cell r="A82" t="str">
            <v>Marc Romero Esquerdo</v>
          </cell>
          <cell r="B82" t="str">
            <v>Romero</v>
          </cell>
          <cell r="C82" t="str">
            <v>Marc</v>
          </cell>
          <cell r="D82" t="str">
            <v>AX EMEA</v>
          </cell>
          <cell r="E82" t="str">
            <v>Individual Contributor</v>
          </cell>
          <cell r="F82">
            <v>100</v>
          </cell>
          <cell r="G82" t="str">
            <v>Javier Martin</v>
          </cell>
          <cell r="H82" t="str">
            <v>Regular</v>
          </cell>
          <cell r="I82">
            <v>1</v>
          </cell>
          <cell r="J82">
            <v>0.25</v>
          </cell>
          <cell r="K82">
            <v>0.3</v>
          </cell>
          <cell r="L82">
            <v>0.45</v>
          </cell>
          <cell r="M82">
            <v>0</v>
          </cell>
          <cell r="N82"/>
          <cell r="O82">
            <v>0.1</v>
          </cell>
          <cell r="P82"/>
          <cell r="Q82"/>
        </row>
        <row r="83">
          <cell r="A83" t="str">
            <v>Natsuki Eliza Langenbach</v>
          </cell>
          <cell r="B83" t="str">
            <v>Langenbach</v>
          </cell>
          <cell r="C83" t="str">
            <v>Natsuki Eliza</v>
          </cell>
          <cell r="D83" t="str">
            <v>AX EMEA</v>
          </cell>
          <cell r="E83" t="str">
            <v>Individual Contributor</v>
          </cell>
          <cell r="F83">
            <v>100</v>
          </cell>
          <cell r="G83" t="str">
            <v>Javier Martin</v>
          </cell>
          <cell r="H83" t="str">
            <v>Regular</v>
          </cell>
          <cell r="I83">
            <v>1</v>
          </cell>
          <cell r="J83">
            <v>0.6</v>
          </cell>
          <cell r="K83">
            <v>0.2</v>
          </cell>
          <cell r="L83">
            <v>0.2</v>
          </cell>
          <cell r="M83">
            <v>0</v>
          </cell>
          <cell r="N83"/>
          <cell r="O83">
            <v>1</v>
          </cell>
          <cell r="P83"/>
          <cell r="Q83"/>
        </row>
        <row r="84">
          <cell r="A84" t="str">
            <v>Christopher Windsor</v>
          </cell>
          <cell r="B84" t="str">
            <v>Windsor</v>
          </cell>
          <cell r="C84" t="str">
            <v>Christopher</v>
          </cell>
          <cell r="D84" t="str">
            <v>AX EMEA</v>
          </cell>
          <cell r="E84" t="str">
            <v>Individual Contributor</v>
          </cell>
          <cell r="F84">
            <v>100</v>
          </cell>
          <cell r="G84" t="str">
            <v>Javier Martin</v>
          </cell>
          <cell r="H84" t="str">
            <v>Regular</v>
          </cell>
          <cell r="I84">
            <v>1</v>
          </cell>
          <cell r="J84">
            <v>0</v>
          </cell>
          <cell r="K84">
            <v>1</v>
          </cell>
          <cell r="L84">
            <v>0</v>
          </cell>
          <cell r="M84">
            <v>0</v>
          </cell>
          <cell r="N84"/>
          <cell r="O84">
            <v>1</v>
          </cell>
          <cell r="P84"/>
          <cell r="Q84"/>
        </row>
        <row r="85">
          <cell r="A85" t="str">
            <v>Jonas Kreusel</v>
          </cell>
          <cell r="B85" t="str">
            <v>Kreusel</v>
          </cell>
          <cell r="C85" t="str">
            <v>Jonas</v>
          </cell>
          <cell r="D85" t="str">
            <v>AX EMEA</v>
          </cell>
          <cell r="E85" t="str">
            <v>Individual Contributor</v>
          </cell>
          <cell r="F85">
            <v>100</v>
          </cell>
          <cell r="G85" t="str">
            <v>Javier Martin</v>
          </cell>
          <cell r="H85" t="str">
            <v>Regular</v>
          </cell>
          <cell r="I85">
            <v>1</v>
          </cell>
          <cell r="J85">
            <v>0.85</v>
          </cell>
          <cell r="K85">
            <v>0.15</v>
          </cell>
          <cell r="L85">
            <v>0</v>
          </cell>
          <cell r="M85">
            <v>0</v>
          </cell>
          <cell r="N85"/>
          <cell r="O85">
            <v>1</v>
          </cell>
          <cell r="P85"/>
          <cell r="Q85"/>
        </row>
        <row r="86">
          <cell r="A86" t="str">
            <v>Stefan Tuchbreiter</v>
          </cell>
          <cell r="B86" t="str">
            <v>Tuchbreiter</v>
          </cell>
          <cell r="C86" t="str">
            <v>Stefan</v>
          </cell>
          <cell r="D86" t="str">
            <v>AX EMEA</v>
          </cell>
          <cell r="E86" t="str">
            <v>Individual Contributor</v>
          </cell>
          <cell r="F86">
            <v>100</v>
          </cell>
          <cell r="G86" t="str">
            <v>Javier Martin</v>
          </cell>
          <cell r="H86" t="str">
            <v>Regular</v>
          </cell>
          <cell r="I86">
            <v>1</v>
          </cell>
          <cell r="J86">
            <v>1</v>
          </cell>
          <cell r="K86">
            <v>0</v>
          </cell>
          <cell r="L86">
            <v>0</v>
          </cell>
          <cell r="M86">
            <v>0</v>
          </cell>
          <cell r="N86"/>
          <cell r="O86">
            <v>1</v>
          </cell>
          <cell r="P86"/>
          <cell r="Q86"/>
        </row>
        <row r="87">
          <cell r="A87" t="str">
            <v>Juan Carlos Ruiz</v>
          </cell>
          <cell r="B87" t="str">
            <v>Ruiz</v>
          </cell>
          <cell r="C87" t="str">
            <v>Juan Carlos</v>
          </cell>
          <cell r="D87" t="str">
            <v>AX EMEA</v>
          </cell>
          <cell r="E87" t="str">
            <v>Individual Contributor</v>
          </cell>
          <cell r="F87">
            <v>100</v>
          </cell>
          <cell r="G87" t="str">
            <v>Javier Martin</v>
          </cell>
          <cell r="H87" t="str">
            <v>Regular</v>
          </cell>
          <cell r="I87">
            <v>1</v>
          </cell>
          <cell r="J87">
            <v>0.7</v>
          </cell>
          <cell r="K87">
            <v>0.3</v>
          </cell>
          <cell r="L87">
            <v>0</v>
          </cell>
          <cell r="M87">
            <v>0</v>
          </cell>
          <cell r="N87"/>
          <cell r="O87">
            <v>1</v>
          </cell>
          <cell r="P87"/>
          <cell r="Q87"/>
        </row>
        <row r="88">
          <cell r="A88" t="str">
            <v>Marcos Calleja</v>
          </cell>
          <cell r="B88" t="str">
            <v>Calleja</v>
          </cell>
          <cell r="C88" t="str">
            <v>Marcos</v>
          </cell>
          <cell r="D88" t="str">
            <v>AX EMEA</v>
          </cell>
          <cell r="E88" t="str">
            <v>Individual Contributor</v>
          </cell>
          <cell r="F88">
            <v>100</v>
          </cell>
          <cell r="G88" t="str">
            <v>Javier Martin</v>
          </cell>
          <cell r="H88" t="str">
            <v>Regular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/>
          <cell r="O88">
            <v>1</v>
          </cell>
          <cell r="P88"/>
          <cell r="Q88"/>
        </row>
        <row r="89">
          <cell r="A89" t="str">
            <v>r20001</v>
          </cell>
          <cell r="D89" t="str">
            <v>AX EMEA</v>
          </cell>
          <cell r="E89" t="str">
            <v>Individual Contributor</v>
          </cell>
          <cell r="F89">
            <v>100</v>
          </cell>
          <cell r="G89" t="str">
            <v>Javier Martin</v>
          </cell>
          <cell r="H89" t="str">
            <v>Regular</v>
          </cell>
          <cell r="I89">
            <v>1</v>
          </cell>
          <cell r="J89">
            <v>0.5</v>
          </cell>
          <cell r="K89">
            <v>0.25</v>
          </cell>
          <cell r="L89">
            <v>0.25</v>
          </cell>
          <cell r="M89">
            <v>0</v>
          </cell>
          <cell r="N89"/>
          <cell r="O89">
            <v>0.8</v>
          </cell>
          <cell r="P89"/>
          <cell r="Q89"/>
        </row>
        <row r="90">
          <cell r="A90" t="str">
            <v>r19763</v>
          </cell>
          <cell r="D90" t="str">
            <v>AX EMEA</v>
          </cell>
          <cell r="E90" t="str">
            <v>Individual Contributor</v>
          </cell>
          <cell r="F90">
            <v>100</v>
          </cell>
          <cell r="G90" t="str">
            <v>Javier Martin</v>
          </cell>
          <cell r="H90" t="str">
            <v>Regular</v>
          </cell>
          <cell r="I90">
            <v>1</v>
          </cell>
          <cell r="J90">
            <v>0</v>
          </cell>
          <cell r="K90">
            <v>0.7</v>
          </cell>
          <cell r="L90">
            <v>0.3</v>
          </cell>
          <cell r="M90">
            <v>0</v>
          </cell>
          <cell r="N90"/>
          <cell r="O90">
            <v>1</v>
          </cell>
          <cell r="P90"/>
          <cell r="Q90"/>
        </row>
        <row r="91">
          <cell r="A91" t="str">
            <v>r20012</v>
          </cell>
          <cell r="D91" t="str">
            <v>AX EMEA</v>
          </cell>
          <cell r="E91" t="str">
            <v>Individual Contributor</v>
          </cell>
          <cell r="F91">
            <v>100</v>
          </cell>
          <cell r="G91" t="str">
            <v>Javier Martin</v>
          </cell>
          <cell r="H91" t="str">
            <v>Regular</v>
          </cell>
          <cell r="I91">
            <v>1</v>
          </cell>
          <cell r="J91">
            <v>0</v>
          </cell>
          <cell r="K91">
            <v>1</v>
          </cell>
          <cell r="L91">
            <v>0</v>
          </cell>
          <cell r="M91">
            <v>0</v>
          </cell>
          <cell r="N91"/>
          <cell r="O91">
            <v>1</v>
          </cell>
          <cell r="P91"/>
          <cell r="Q91"/>
        </row>
        <row r="92">
          <cell r="A92" t="str">
            <v>Kevin Hall</v>
          </cell>
          <cell r="B92" t="str">
            <v>Hall</v>
          </cell>
          <cell r="C92" t="str">
            <v>Kevin</v>
          </cell>
          <cell r="D92" t="str">
            <v>AX AMS</v>
          </cell>
          <cell r="E92" t="str">
            <v>Manager</v>
          </cell>
          <cell r="F92">
            <v>100</v>
          </cell>
          <cell r="G92" t="str">
            <v>Javier Martin</v>
          </cell>
          <cell r="H92" t="str">
            <v>Regular</v>
          </cell>
          <cell r="I92">
            <v>1</v>
          </cell>
          <cell r="J92">
            <v>0.75</v>
          </cell>
          <cell r="K92">
            <v>0.25</v>
          </cell>
          <cell r="L92">
            <v>0</v>
          </cell>
          <cell r="M92">
            <v>0</v>
          </cell>
          <cell r="N92">
            <v>0</v>
          </cell>
          <cell r="O92">
            <v>0.75</v>
          </cell>
          <cell r="P92">
            <v>0</v>
          </cell>
          <cell r="Q92">
            <v>0</v>
          </cell>
        </row>
        <row r="93">
          <cell r="A93" t="str">
            <v>Chantós Mariani</v>
          </cell>
          <cell r="B93" t="str">
            <v>Mariani</v>
          </cell>
          <cell r="C93" t="str">
            <v>Chantós</v>
          </cell>
          <cell r="D93" t="str">
            <v>AX AMS</v>
          </cell>
          <cell r="E93" t="str">
            <v>Manager</v>
          </cell>
          <cell r="F93">
            <v>100</v>
          </cell>
          <cell r="G93" t="str">
            <v>Javier Martin</v>
          </cell>
          <cell r="H93" t="str">
            <v>Regular</v>
          </cell>
          <cell r="I93">
            <v>1</v>
          </cell>
          <cell r="J93">
            <v>0.5</v>
          </cell>
          <cell r="K93">
            <v>0.25</v>
          </cell>
          <cell r="L93">
            <v>0.25</v>
          </cell>
          <cell r="M93">
            <v>0</v>
          </cell>
          <cell r="N93">
            <v>0</v>
          </cell>
          <cell r="O93">
            <v>1</v>
          </cell>
          <cell r="P93">
            <v>0</v>
          </cell>
          <cell r="Q93">
            <v>0</v>
          </cell>
        </row>
        <row r="94">
          <cell r="A94" t="str">
            <v>Luis Gustavo Izzo Octaviano</v>
          </cell>
          <cell r="B94" t="str">
            <v>Izzo Octaviano</v>
          </cell>
          <cell r="C94" t="str">
            <v>Luis Gustavo</v>
          </cell>
          <cell r="D94" t="str">
            <v>AX AMS</v>
          </cell>
          <cell r="E94" t="str">
            <v>Manager</v>
          </cell>
          <cell r="F94">
            <v>100</v>
          </cell>
          <cell r="G94" t="str">
            <v>Javier Martin</v>
          </cell>
          <cell r="H94" t="str">
            <v>Regular</v>
          </cell>
          <cell r="I94">
            <v>1</v>
          </cell>
          <cell r="J94">
            <v>0.75</v>
          </cell>
          <cell r="K94">
            <v>0.25</v>
          </cell>
          <cell r="L94">
            <v>0</v>
          </cell>
          <cell r="M94">
            <v>0</v>
          </cell>
          <cell r="N94">
            <v>0</v>
          </cell>
          <cell r="O94">
            <v>1</v>
          </cell>
          <cell r="P94">
            <v>0</v>
          </cell>
          <cell r="Q94">
            <v>0</v>
          </cell>
        </row>
        <row r="95">
          <cell r="A95" t="str">
            <v>Liliana Byron</v>
          </cell>
          <cell r="B95" t="str">
            <v>Byron</v>
          </cell>
          <cell r="C95" t="str">
            <v>Liliana</v>
          </cell>
          <cell r="D95" t="str">
            <v>AX AMS</v>
          </cell>
          <cell r="E95" t="str">
            <v>Manager</v>
          </cell>
          <cell r="F95">
            <v>100</v>
          </cell>
          <cell r="G95" t="str">
            <v>Javier Martin</v>
          </cell>
          <cell r="H95" t="str">
            <v>Regular</v>
          </cell>
          <cell r="I95">
            <v>1</v>
          </cell>
          <cell r="J95">
            <v>0.5</v>
          </cell>
          <cell r="K95">
            <v>0.5</v>
          </cell>
          <cell r="L95">
            <v>0</v>
          </cell>
          <cell r="M95">
            <v>0</v>
          </cell>
          <cell r="N95">
            <v>0</v>
          </cell>
          <cell r="O95">
            <v>0.75</v>
          </cell>
          <cell r="P95">
            <v>0</v>
          </cell>
          <cell r="Q95">
            <v>0.25</v>
          </cell>
        </row>
        <row r="96">
          <cell r="A96" t="str">
            <v>Mallory Stallings</v>
          </cell>
          <cell r="B96" t="str">
            <v>Stallings</v>
          </cell>
          <cell r="C96" t="str">
            <v>Mallory</v>
          </cell>
          <cell r="D96" t="str">
            <v>AX AMS</v>
          </cell>
          <cell r="E96" t="str">
            <v>Manager</v>
          </cell>
          <cell r="F96">
            <v>100</v>
          </cell>
          <cell r="G96" t="str">
            <v>Javier Martin</v>
          </cell>
          <cell r="H96" t="str">
            <v>Regular</v>
          </cell>
          <cell r="I96">
            <v>1</v>
          </cell>
          <cell r="J96">
            <v>0.5</v>
          </cell>
          <cell r="K96">
            <v>0.25</v>
          </cell>
          <cell r="L96">
            <v>0.25</v>
          </cell>
          <cell r="M96">
            <v>0</v>
          </cell>
          <cell r="N96">
            <v>0</v>
          </cell>
          <cell r="O96">
            <v>0.75</v>
          </cell>
          <cell r="P96">
            <v>0</v>
          </cell>
          <cell r="Q96">
            <v>0.25</v>
          </cell>
        </row>
        <row r="97">
          <cell r="A97" t="str">
            <v>Madelyn Savan</v>
          </cell>
          <cell r="B97" t="str">
            <v>Savan</v>
          </cell>
          <cell r="C97" t="str">
            <v>Madelyn</v>
          </cell>
          <cell r="D97" t="str">
            <v>AX AMS</v>
          </cell>
          <cell r="E97" t="str">
            <v>Individual Contributor</v>
          </cell>
          <cell r="F97">
            <v>100</v>
          </cell>
          <cell r="G97" t="str">
            <v>Javier Martin</v>
          </cell>
          <cell r="H97" t="str">
            <v>Regular</v>
          </cell>
          <cell r="I97">
            <v>1</v>
          </cell>
          <cell r="J97">
            <v>0.5</v>
          </cell>
          <cell r="K97">
            <v>0.25</v>
          </cell>
          <cell r="L97">
            <v>0.25</v>
          </cell>
          <cell r="M97">
            <v>0</v>
          </cell>
          <cell r="N97">
            <v>0</v>
          </cell>
          <cell r="O97">
            <v>1</v>
          </cell>
          <cell r="P97">
            <v>0</v>
          </cell>
          <cell r="Q97">
            <v>0.25</v>
          </cell>
        </row>
        <row r="98">
          <cell r="A98" t="str">
            <v>Jonas Matos</v>
          </cell>
          <cell r="B98" t="str">
            <v>Matos</v>
          </cell>
          <cell r="C98" t="str">
            <v>Jonas</v>
          </cell>
          <cell r="D98" t="str">
            <v>AX AMS</v>
          </cell>
          <cell r="E98" t="str">
            <v>Individual Contributor</v>
          </cell>
          <cell r="F98">
            <v>100</v>
          </cell>
          <cell r="G98" t="str">
            <v>Javier Martin</v>
          </cell>
          <cell r="H98" t="str">
            <v>Regular</v>
          </cell>
          <cell r="I98">
            <v>1</v>
          </cell>
          <cell r="J98">
            <v>0.25</v>
          </cell>
          <cell r="K98">
            <v>0.25</v>
          </cell>
          <cell r="L98">
            <v>0.25</v>
          </cell>
          <cell r="M98">
            <v>0.25</v>
          </cell>
          <cell r="N98">
            <v>0</v>
          </cell>
          <cell r="O98">
            <v>1</v>
          </cell>
          <cell r="P98">
            <v>0</v>
          </cell>
          <cell r="Q98">
            <v>0</v>
          </cell>
        </row>
        <row r="99">
          <cell r="A99" t="str">
            <v>Matt Merenich</v>
          </cell>
          <cell r="B99" t="str">
            <v>Merenich</v>
          </cell>
          <cell r="C99" t="str">
            <v>Matt</v>
          </cell>
          <cell r="D99" t="str">
            <v>AX AMS</v>
          </cell>
          <cell r="E99" t="str">
            <v>Individual Contributor</v>
          </cell>
          <cell r="F99">
            <v>100</v>
          </cell>
          <cell r="G99" t="str">
            <v>Javier Martin</v>
          </cell>
          <cell r="H99" t="str">
            <v>Regular</v>
          </cell>
          <cell r="I99">
            <v>1</v>
          </cell>
          <cell r="J99">
            <v>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1</v>
          </cell>
          <cell r="P99">
            <v>0</v>
          </cell>
          <cell r="Q99">
            <v>0</v>
          </cell>
        </row>
        <row r="100">
          <cell r="A100" t="str">
            <v>Oleksandra Sadovska</v>
          </cell>
          <cell r="B100" t="str">
            <v>Sadovska</v>
          </cell>
          <cell r="C100" t="str">
            <v>Oleksandra</v>
          </cell>
          <cell r="D100" t="str">
            <v>AX AMS</v>
          </cell>
          <cell r="E100" t="str">
            <v>Individual Contributor</v>
          </cell>
          <cell r="F100">
            <v>100</v>
          </cell>
          <cell r="G100" t="str">
            <v>Javier Martin</v>
          </cell>
          <cell r="H100" t="str">
            <v>Regular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1</v>
          </cell>
          <cell r="P100">
            <v>0</v>
          </cell>
          <cell r="Q100">
            <v>0</v>
          </cell>
        </row>
        <row r="101">
          <cell r="A101" t="str">
            <v>Nicola Etter</v>
          </cell>
          <cell r="B101" t="str">
            <v>Etter</v>
          </cell>
          <cell r="C101" t="str">
            <v>Nicola</v>
          </cell>
          <cell r="D101" t="str">
            <v>AX AMS</v>
          </cell>
          <cell r="E101" t="str">
            <v>Individual Contributor</v>
          </cell>
          <cell r="F101">
            <v>100</v>
          </cell>
          <cell r="G101" t="str">
            <v>Javier Martin</v>
          </cell>
          <cell r="H101" t="str">
            <v>Regular</v>
          </cell>
          <cell r="I101">
            <v>1</v>
          </cell>
          <cell r="J101">
            <v>1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1</v>
          </cell>
          <cell r="P101">
            <v>0</v>
          </cell>
          <cell r="Q101">
            <v>0</v>
          </cell>
        </row>
        <row r="102">
          <cell r="A102" t="str">
            <v>Rayra Firmino Dos Santos</v>
          </cell>
          <cell r="B102" t="str">
            <v>Firmino Dos Santos</v>
          </cell>
          <cell r="C102" t="str">
            <v>Rayra</v>
          </cell>
          <cell r="D102" t="str">
            <v>AX AMS</v>
          </cell>
          <cell r="E102" t="str">
            <v>Individual Contributor</v>
          </cell>
          <cell r="F102">
            <v>100</v>
          </cell>
          <cell r="G102" t="str">
            <v>Javier Martin</v>
          </cell>
          <cell r="H102" t="str">
            <v>Regular</v>
          </cell>
          <cell r="I102">
            <v>1</v>
          </cell>
          <cell r="J102">
            <v>0.25</v>
          </cell>
          <cell r="K102">
            <v>0.25</v>
          </cell>
          <cell r="L102">
            <v>0.25</v>
          </cell>
          <cell r="M102">
            <v>0.25</v>
          </cell>
          <cell r="N102">
            <v>0</v>
          </cell>
          <cell r="O102">
            <v>0.5</v>
          </cell>
          <cell r="P102">
            <v>0</v>
          </cell>
          <cell r="Q102">
            <v>0</v>
          </cell>
        </row>
        <row r="103">
          <cell r="A103" t="str">
            <v>Drew Moore</v>
          </cell>
          <cell r="B103" t="str">
            <v>Moore</v>
          </cell>
          <cell r="C103" t="str">
            <v>Drew</v>
          </cell>
          <cell r="D103" t="str">
            <v>AX AMS</v>
          </cell>
          <cell r="E103" t="str">
            <v>Individual Contributor</v>
          </cell>
          <cell r="F103">
            <v>100</v>
          </cell>
          <cell r="G103" t="str">
            <v>Javier Martin</v>
          </cell>
          <cell r="H103" t="str">
            <v>Regular</v>
          </cell>
          <cell r="I103">
            <v>1</v>
          </cell>
          <cell r="J103">
            <v>0.5</v>
          </cell>
          <cell r="K103">
            <v>0.25</v>
          </cell>
          <cell r="L103">
            <v>0.25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</row>
        <row r="104">
          <cell r="A104" t="str">
            <v>Leah Benque</v>
          </cell>
          <cell r="B104" t="str">
            <v>Benque</v>
          </cell>
          <cell r="C104" t="str">
            <v>Leah</v>
          </cell>
          <cell r="D104" t="str">
            <v>AX AMS</v>
          </cell>
          <cell r="E104" t="str">
            <v>Individual Contributor</v>
          </cell>
          <cell r="F104">
            <v>100</v>
          </cell>
          <cell r="G104" t="str">
            <v>Javier Martin</v>
          </cell>
          <cell r="H104" t="str">
            <v>Regular</v>
          </cell>
          <cell r="I104">
            <v>1</v>
          </cell>
          <cell r="J104">
            <v>0.25</v>
          </cell>
          <cell r="K104">
            <v>0.75</v>
          </cell>
          <cell r="L104">
            <v>0</v>
          </cell>
          <cell r="M104">
            <v>0</v>
          </cell>
          <cell r="N104">
            <v>0</v>
          </cell>
          <cell r="O104">
            <v>1</v>
          </cell>
          <cell r="P104">
            <v>0</v>
          </cell>
          <cell r="Q104">
            <v>0</v>
          </cell>
        </row>
        <row r="105">
          <cell r="A105" t="str">
            <v>Luisa da Rocha Macedo</v>
          </cell>
          <cell r="B105" t="str">
            <v>Macedo</v>
          </cell>
          <cell r="C105" t="str">
            <v>Luisa</v>
          </cell>
          <cell r="D105" t="str">
            <v>AX AMS</v>
          </cell>
          <cell r="E105" t="str">
            <v>Individual Contributor</v>
          </cell>
          <cell r="F105">
            <v>100</v>
          </cell>
          <cell r="G105" t="str">
            <v>Javier Martin</v>
          </cell>
          <cell r="H105" t="str">
            <v>Regular</v>
          </cell>
          <cell r="I105">
            <v>1</v>
          </cell>
          <cell r="J105">
            <v>0.25</v>
          </cell>
          <cell r="K105">
            <v>0.25</v>
          </cell>
          <cell r="L105">
            <v>0.5</v>
          </cell>
          <cell r="M105">
            <v>0</v>
          </cell>
          <cell r="N105">
            <v>0</v>
          </cell>
          <cell r="O105">
            <v>0.75</v>
          </cell>
          <cell r="P105">
            <v>0</v>
          </cell>
          <cell r="Q105">
            <v>0</v>
          </cell>
        </row>
        <row r="106">
          <cell r="A106" t="str">
            <v>Mateo Pesa</v>
          </cell>
          <cell r="B106" t="str">
            <v>Pesa</v>
          </cell>
          <cell r="C106" t="str">
            <v>Mateo</v>
          </cell>
          <cell r="D106" t="str">
            <v>AX AMS</v>
          </cell>
          <cell r="E106" t="str">
            <v>Individual Contributor</v>
          </cell>
          <cell r="F106">
            <v>100</v>
          </cell>
          <cell r="G106" t="str">
            <v>Javier Martin</v>
          </cell>
          <cell r="H106" t="str">
            <v>Regular</v>
          </cell>
          <cell r="I106">
            <v>1</v>
          </cell>
          <cell r="J106">
            <v>0.25</v>
          </cell>
          <cell r="K106">
            <v>0.75</v>
          </cell>
          <cell r="L106">
            <v>0</v>
          </cell>
          <cell r="M106">
            <v>0</v>
          </cell>
          <cell r="N106">
            <v>0</v>
          </cell>
          <cell r="O106">
            <v>1</v>
          </cell>
          <cell r="P106">
            <v>0</v>
          </cell>
          <cell r="Q106">
            <v>0</v>
          </cell>
        </row>
        <row r="107">
          <cell r="A107" t="str">
            <v>Horacio Baez</v>
          </cell>
          <cell r="B107" t="str">
            <v>Baez</v>
          </cell>
          <cell r="C107" t="str">
            <v>Horacio</v>
          </cell>
          <cell r="D107" t="str">
            <v>AX AMS</v>
          </cell>
          <cell r="E107" t="str">
            <v>Individual Contributor</v>
          </cell>
          <cell r="F107">
            <v>100</v>
          </cell>
          <cell r="G107" t="str">
            <v>Javier Martin</v>
          </cell>
          <cell r="H107" t="str">
            <v>Regular</v>
          </cell>
          <cell r="I107">
            <v>1</v>
          </cell>
          <cell r="J107">
            <v>0.25</v>
          </cell>
          <cell r="K107">
            <v>0.5</v>
          </cell>
          <cell r="L107">
            <v>0.25</v>
          </cell>
          <cell r="M107">
            <v>0</v>
          </cell>
          <cell r="N107">
            <v>0</v>
          </cell>
          <cell r="O107">
            <v>0.9</v>
          </cell>
          <cell r="P107">
            <v>0</v>
          </cell>
          <cell r="Q107">
            <v>0</v>
          </cell>
        </row>
        <row r="108">
          <cell r="A108" t="str">
            <v>Willian Kimura</v>
          </cell>
          <cell r="B108" t="str">
            <v>Kimura</v>
          </cell>
          <cell r="C108" t="str">
            <v>Willian</v>
          </cell>
          <cell r="D108" t="str">
            <v>AX AMS</v>
          </cell>
          <cell r="E108" t="str">
            <v>Individual Contributor</v>
          </cell>
          <cell r="F108">
            <v>100</v>
          </cell>
          <cell r="G108" t="str">
            <v>Javier Martin</v>
          </cell>
          <cell r="H108" t="str">
            <v>Regular</v>
          </cell>
          <cell r="I108">
            <v>1</v>
          </cell>
          <cell r="J108">
            <v>0.5</v>
          </cell>
          <cell r="K108">
            <v>0.5</v>
          </cell>
          <cell r="L108">
            <v>0</v>
          </cell>
          <cell r="M108">
            <v>0</v>
          </cell>
          <cell r="N108">
            <v>0</v>
          </cell>
          <cell r="O108">
            <v>1</v>
          </cell>
          <cell r="P108">
            <v>0</v>
          </cell>
          <cell r="Q108">
            <v>0.25</v>
          </cell>
        </row>
        <row r="109">
          <cell r="A109" t="str">
            <v>Humbeline de Marcillac</v>
          </cell>
          <cell r="B109" t="str">
            <v>de Marcillac</v>
          </cell>
          <cell r="C109" t="str">
            <v>Humbeline</v>
          </cell>
          <cell r="D109" t="str">
            <v>AX AMS</v>
          </cell>
          <cell r="E109" t="str">
            <v>Individual Contributor</v>
          </cell>
          <cell r="F109">
            <v>100</v>
          </cell>
          <cell r="G109" t="str">
            <v>Javier Martin</v>
          </cell>
          <cell r="H109" t="str">
            <v>Regular</v>
          </cell>
          <cell r="I109">
            <v>1</v>
          </cell>
          <cell r="J109">
            <v>0.5</v>
          </cell>
          <cell r="K109">
            <v>0.25</v>
          </cell>
          <cell r="L109">
            <v>0.25</v>
          </cell>
          <cell r="M109">
            <v>0</v>
          </cell>
          <cell r="N109">
            <v>0</v>
          </cell>
          <cell r="O109">
            <v>0.5</v>
          </cell>
          <cell r="P109">
            <v>0</v>
          </cell>
          <cell r="Q109">
            <v>0.25</v>
          </cell>
        </row>
        <row r="110">
          <cell r="A110" t="str">
            <v>Eunice Kang</v>
          </cell>
          <cell r="B110" t="str">
            <v>Kang</v>
          </cell>
          <cell r="C110" t="str">
            <v>Eunice</v>
          </cell>
          <cell r="D110" t="str">
            <v>AX AMS</v>
          </cell>
          <cell r="E110" t="str">
            <v>Individual Contributor</v>
          </cell>
          <cell r="F110">
            <v>100</v>
          </cell>
          <cell r="G110" t="str">
            <v>Javier Martin</v>
          </cell>
          <cell r="H110" t="str">
            <v>Regular</v>
          </cell>
          <cell r="I110">
            <v>1</v>
          </cell>
          <cell r="J110">
            <v>0.5</v>
          </cell>
          <cell r="K110">
            <v>0.25</v>
          </cell>
          <cell r="L110">
            <v>0.25</v>
          </cell>
          <cell r="M110">
            <v>0</v>
          </cell>
          <cell r="N110">
            <v>0</v>
          </cell>
          <cell r="O110">
            <v>0.75</v>
          </cell>
          <cell r="P110">
            <v>0</v>
          </cell>
          <cell r="Q110">
            <v>0.25</v>
          </cell>
        </row>
        <row r="111">
          <cell r="A111" t="str">
            <v>Joseph Porpora</v>
          </cell>
          <cell r="B111" t="str">
            <v>Porpora</v>
          </cell>
          <cell r="C111" t="str">
            <v>Joseph</v>
          </cell>
          <cell r="D111" t="str">
            <v>AX AMS</v>
          </cell>
          <cell r="E111" t="str">
            <v>Individual Contributor</v>
          </cell>
          <cell r="F111">
            <v>100</v>
          </cell>
          <cell r="G111" t="str">
            <v>Javier Martin</v>
          </cell>
          <cell r="H111" t="str">
            <v>Regular</v>
          </cell>
          <cell r="I111">
            <v>1</v>
          </cell>
          <cell r="J111">
            <v>0.5</v>
          </cell>
          <cell r="K111">
            <v>0.25</v>
          </cell>
          <cell r="L111">
            <v>0.25</v>
          </cell>
          <cell r="M111">
            <v>0</v>
          </cell>
          <cell r="N111">
            <v>0</v>
          </cell>
          <cell r="O111">
            <v>1</v>
          </cell>
          <cell r="P111">
            <v>0</v>
          </cell>
          <cell r="Q111">
            <v>0</v>
          </cell>
        </row>
        <row r="112">
          <cell r="A112" t="str">
            <v>r20392 Backfill - Humbeline de Marcillac</v>
          </cell>
          <cell r="D112" t="str">
            <v>AX AMS</v>
          </cell>
          <cell r="E112" t="str">
            <v>Individual Contributor</v>
          </cell>
          <cell r="F112">
            <v>100</v>
          </cell>
          <cell r="G112" t="str">
            <v>Javier Martin</v>
          </cell>
          <cell r="H112" t="str">
            <v>Regular</v>
          </cell>
          <cell r="I112">
            <v>1</v>
          </cell>
          <cell r="J112">
            <v>0.75</v>
          </cell>
          <cell r="K112">
            <v>0.25</v>
          </cell>
          <cell r="L112">
            <v>0</v>
          </cell>
          <cell r="M112">
            <v>0</v>
          </cell>
          <cell r="N112">
            <v>0</v>
          </cell>
          <cell r="O112">
            <v>1</v>
          </cell>
          <cell r="P112">
            <v>0</v>
          </cell>
          <cell r="Q112">
            <v>0</v>
          </cell>
        </row>
        <row r="113">
          <cell r="A113" t="str">
            <v>r20374 Backfill - Willian Kimura</v>
          </cell>
          <cell r="D113" t="str">
            <v>AX AMS</v>
          </cell>
          <cell r="E113" t="str">
            <v>Individual Contributor</v>
          </cell>
          <cell r="F113">
            <v>100</v>
          </cell>
          <cell r="G113" t="str">
            <v>Javier Martin</v>
          </cell>
          <cell r="H113" t="str">
            <v>Regular</v>
          </cell>
          <cell r="I113">
            <v>1</v>
          </cell>
          <cell r="J113">
            <v>0.5</v>
          </cell>
          <cell r="K113">
            <v>0.5</v>
          </cell>
          <cell r="L113">
            <v>0</v>
          </cell>
          <cell r="M113">
            <v>0</v>
          </cell>
          <cell r="N113">
            <v>0</v>
          </cell>
          <cell r="O113">
            <v>0.75</v>
          </cell>
          <cell r="P113">
            <v>0</v>
          </cell>
          <cell r="Q113">
            <v>0.25</v>
          </cell>
        </row>
        <row r="114">
          <cell r="A114" t="str">
            <v>Kristel Smith</v>
          </cell>
          <cell r="B114" t="str">
            <v>Smith</v>
          </cell>
          <cell r="C114" t="str">
            <v>Kristel</v>
          </cell>
          <cell r="D114" t="str">
            <v>Crea AMS</v>
          </cell>
          <cell r="E114" t="str">
            <v>Manager</v>
          </cell>
          <cell r="F114">
            <v>100</v>
          </cell>
          <cell r="G114" t="str">
            <v>Javier Martin</v>
          </cell>
          <cell r="H114" t="str">
            <v>Regular</v>
          </cell>
          <cell r="I114">
            <v>1</v>
          </cell>
          <cell r="J114">
            <v>0.5</v>
          </cell>
          <cell r="K114">
            <v>0.5</v>
          </cell>
          <cell r="L114">
            <v>0</v>
          </cell>
          <cell r="M114">
            <v>0</v>
          </cell>
          <cell r="N114">
            <v>0</v>
          </cell>
          <cell r="O114">
            <v>0.75</v>
          </cell>
          <cell r="P114">
            <v>0</v>
          </cell>
          <cell r="Q114">
            <v>0</v>
          </cell>
        </row>
        <row r="115">
          <cell r="A115" t="str">
            <v>Andreia Bersot</v>
          </cell>
          <cell r="B115" t="str">
            <v>Bersot</v>
          </cell>
          <cell r="C115" t="str">
            <v>Andreia</v>
          </cell>
          <cell r="D115" t="str">
            <v>Crea AMS</v>
          </cell>
          <cell r="E115" t="str">
            <v>Manager</v>
          </cell>
          <cell r="F115">
            <v>100</v>
          </cell>
          <cell r="G115" t="str">
            <v>Javier Martin</v>
          </cell>
          <cell r="H115" t="str">
            <v>Regular</v>
          </cell>
          <cell r="I115">
            <v>1</v>
          </cell>
          <cell r="J115">
            <v>0.5</v>
          </cell>
          <cell r="K115">
            <v>0.5</v>
          </cell>
          <cell r="L115">
            <v>0</v>
          </cell>
          <cell r="M115">
            <v>0</v>
          </cell>
          <cell r="N115">
            <v>0</v>
          </cell>
          <cell r="O115">
            <v>0.75</v>
          </cell>
          <cell r="P115">
            <v>0</v>
          </cell>
          <cell r="Q115">
            <v>0</v>
          </cell>
        </row>
        <row r="116">
          <cell r="A116" t="str">
            <v>Matt Steinberger</v>
          </cell>
          <cell r="B116" t="str">
            <v>Steinberger</v>
          </cell>
          <cell r="C116" t="str">
            <v>Matt</v>
          </cell>
          <cell r="D116" t="str">
            <v>Crea AMS</v>
          </cell>
          <cell r="E116" t="str">
            <v>Individual Contributor</v>
          </cell>
          <cell r="F116">
            <v>100</v>
          </cell>
          <cell r="G116" t="str">
            <v>Javier Martin</v>
          </cell>
          <cell r="H116" t="str">
            <v>Regular</v>
          </cell>
          <cell r="I116">
            <v>1</v>
          </cell>
          <cell r="J116">
            <v>0.5</v>
          </cell>
          <cell r="K116">
            <v>0.25</v>
          </cell>
          <cell r="L116">
            <v>0.25</v>
          </cell>
          <cell r="M116">
            <v>0</v>
          </cell>
          <cell r="N116">
            <v>0</v>
          </cell>
          <cell r="O116">
            <v>0.75</v>
          </cell>
          <cell r="P116">
            <v>0</v>
          </cell>
          <cell r="Q116">
            <v>0</v>
          </cell>
        </row>
        <row r="117">
          <cell r="A117" t="str">
            <v>Danielle Frederick</v>
          </cell>
          <cell r="B117" t="str">
            <v>Frederick</v>
          </cell>
          <cell r="C117" t="str">
            <v>Danielle</v>
          </cell>
          <cell r="D117" t="str">
            <v>Crea AMS</v>
          </cell>
          <cell r="E117" t="str">
            <v>Individual Contributor</v>
          </cell>
          <cell r="F117">
            <v>100</v>
          </cell>
          <cell r="G117" t="str">
            <v>Javier Martin</v>
          </cell>
          <cell r="H117" t="str">
            <v>Regular</v>
          </cell>
          <cell r="I117">
            <v>1</v>
          </cell>
          <cell r="J117">
            <v>0.75</v>
          </cell>
          <cell r="K117">
            <v>0.25</v>
          </cell>
          <cell r="L117">
            <v>0</v>
          </cell>
          <cell r="M117">
            <v>0</v>
          </cell>
          <cell r="N117">
            <v>0</v>
          </cell>
          <cell r="O117">
            <v>0.5</v>
          </cell>
          <cell r="P117">
            <v>0</v>
          </cell>
          <cell r="Q117">
            <v>0</v>
          </cell>
        </row>
        <row r="118">
          <cell r="A118" t="str">
            <v>Hanna Yuri Dziekaniak Fukuura</v>
          </cell>
          <cell r="B118" t="str">
            <v>Fukuura</v>
          </cell>
          <cell r="C118" t="str">
            <v>Hanna Yuri</v>
          </cell>
          <cell r="D118" t="str">
            <v>Crea AMS</v>
          </cell>
          <cell r="E118" t="str">
            <v>Individual Contributor</v>
          </cell>
          <cell r="F118">
            <v>100</v>
          </cell>
          <cell r="G118" t="str">
            <v>Javier Martin</v>
          </cell>
          <cell r="H118" t="str">
            <v>Regular</v>
          </cell>
          <cell r="I118">
            <v>1</v>
          </cell>
          <cell r="J118">
            <v>0.75</v>
          </cell>
          <cell r="K118">
            <v>0.25</v>
          </cell>
          <cell r="L118">
            <v>0</v>
          </cell>
          <cell r="M118">
            <v>0</v>
          </cell>
          <cell r="N118">
            <v>0</v>
          </cell>
          <cell r="O118">
            <v>0.9</v>
          </cell>
          <cell r="P118">
            <v>0</v>
          </cell>
          <cell r="Q118">
            <v>0.1</v>
          </cell>
        </row>
        <row r="119">
          <cell r="A119" t="str">
            <v>Camila Macedo de Carvalho Arantes</v>
          </cell>
          <cell r="B119" t="str">
            <v>Macedo de Carvalho Arantes</v>
          </cell>
          <cell r="C119" t="str">
            <v>Camila</v>
          </cell>
          <cell r="D119" t="str">
            <v>Crea AMS</v>
          </cell>
          <cell r="E119" t="str">
            <v>Individual Contributor</v>
          </cell>
          <cell r="F119">
            <v>100</v>
          </cell>
          <cell r="G119" t="str">
            <v>Javier Martin</v>
          </cell>
          <cell r="H119" t="str">
            <v>Regular</v>
          </cell>
          <cell r="I119">
            <v>1</v>
          </cell>
          <cell r="J119">
            <v>0.75</v>
          </cell>
          <cell r="K119">
            <v>0</v>
          </cell>
          <cell r="L119">
            <v>0.25</v>
          </cell>
          <cell r="M119">
            <v>0</v>
          </cell>
          <cell r="N119">
            <v>0</v>
          </cell>
          <cell r="O119">
            <v>0.5</v>
          </cell>
          <cell r="P119">
            <v>0</v>
          </cell>
          <cell r="Q119">
            <v>0.5</v>
          </cell>
        </row>
        <row r="120">
          <cell r="A120" t="str">
            <v>Louisa Hammond</v>
          </cell>
          <cell r="B120" t="str">
            <v>Hammond</v>
          </cell>
          <cell r="C120" t="str">
            <v>Louisa</v>
          </cell>
          <cell r="D120" t="str">
            <v>Crea AMS</v>
          </cell>
          <cell r="E120" t="str">
            <v>Individual Contributor</v>
          </cell>
          <cell r="F120">
            <v>100</v>
          </cell>
          <cell r="G120" t="str">
            <v>Javier Martin</v>
          </cell>
          <cell r="H120" t="str">
            <v>Regular</v>
          </cell>
          <cell r="I120">
            <v>1</v>
          </cell>
          <cell r="J120">
            <v>0.25</v>
          </cell>
          <cell r="K120">
            <v>0.25</v>
          </cell>
          <cell r="L120">
            <v>0.5</v>
          </cell>
          <cell r="M120">
            <v>0</v>
          </cell>
          <cell r="N120">
            <v>0</v>
          </cell>
          <cell r="O120">
            <v>0.75</v>
          </cell>
          <cell r="P120">
            <v>0</v>
          </cell>
          <cell r="Q120">
            <v>1</v>
          </cell>
        </row>
        <row r="121">
          <cell r="A121" t="str">
            <v>Bruna Vasconcellos</v>
          </cell>
          <cell r="B121" t="str">
            <v>Vasconcellos</v>
          </cell>
          <cell r="C121" t="str">
            <v>Bruna</v>
          </cell>
          <cell r="D121" t="str">
            <v>Crea AMS</v>
          </cell>
          <cell r="E121" t="str">
            <v>Individual Contributor</v>
          </cell>
          <cell r="F121">
            <v>100</v>
          </cell>
          <cell r="G121" t="str">
            <v>Javier Martin</v>
          </cell>
          <cell r="H121" t="str">
            <v>Regular</v>
          </cell>
          <cell r="I121">
            <v>1</v>
          </cell>
          <cell r="J121">
            <v>0</v>
          </cell>
          <cell r="K121">
            <v>0.25</v>
          </cell>
          <cell r="L121">
            <v>0.5</v>
          </cell>
          <cell r="M121">
            <v>0.25</v>
          </cell>
          <cell r="N121">
            <v>0</v>
          </cell>
          <cell r="O121">
            <v>1</v>
          </cell>
          <cell r="P121">
            <v>0</v>
          </cell>
          <cell r="Q121">
            <v>0</v>
          </cell>
        </row>
        <row r="122">
          <cell r="A122" t="str">
            <v>Solène Rhazali</v>
          </cell>
          <cell r="B122" t="str">
            <v>Rhazali</v>
          </cell>
          <cell r="C122" t="str">
            <v>Solène</v>
          </cell>
          <cell r="D122" t="str">
            <v>Specialist EMEA</v>
          </cell>
          <cell r="E122" t="str">
            <v>Individual Contributor</v>
          </cell>
          <cell r="F122">
            <v>100</v>
          </cell>
          <cell r="G122" t="str">
            <v>Javier Martin</v>
          </cell>
          <cell r="H122" t="str">
            <v>Regular</v>
          </cell>
          <cell r="I122">
            <v>1</v>
          </cell>
          <cell r="J122">
            <v>0.35</v>
          </cell>
          <cell r="K122">
            <v>0.35</v>
          </cell>
          <cell r="L122">
            <v>0.3</v>
          </cell>
          <cell r="M122">
            <v>0</v>
          </cell>
          <cell r="N122">
            <v>0</v>
          </cell>
          <cell r="O122">
            <v>0.6</v>
          </cell>
          <cell r="P122">
            <v>1</v>
          </cell>
          <cell r="Q122">
            <v>0.1</v>
          </cell>
        </row>
        <row r="123">
          <cell r="A123" t="str">
            <v>Johanna Bacchilega</v>
          </cell>
          <cell r="B123" t="str">
            <v>Bacchilega</v>
          </cell>
          <cell r="C123" t="str">
            <v>Johanna</v>
          </cell>
          <cell r="D123" t="str">
            <v>Specialist EMEA</v>
          </cell>
          <cell r="E123" t="str">
            <v>Individual Contributor</v>
          </cell>
          <cell r="F123">
            <v>100</v>
          </cell>
          <cell r="G123" t="str">
            <v>Javier Martin</v>
          </cell>
          <cell r="H123" t="str">
            <v>Regular</v>
          </cell>
          <cell r="I123">
            <v>1</v>
          </cell>
          <cell r="J123">
            <v>0.47</v>
          </cell>
          <cell r="K123">
            <v>0.32</v>
          </cell>
          <cell r="L123">
            <v>0.21</v>
          </cell>
          <cell r="M123">
            <v>0</v>
          </cell>
          <cell r="N123">
            <v>0</v>
          </cell>
          <cell r="O123">
            <v>0.6</v>
          </cell>
          <cell r="P123">
            <v>1</v>
          </cell>
          <cell r="Q123">
            <v>0.1</v>
          </cell>
        </row>
        <row r="124">
          <cell r="A124" t="str">
            <v>Khaldoun Al-Naierat</v>
          </cell>
          <cell r="B124" t="str">
            <v>Al-Naierat</v>
          </cell>
          <cell r="C124" t="str">
            <v>Khaldoun</v>
          </cell>
          <cell r="D124" t="str">
            <v>Specialist EMEA</v>
          </cell>
          <cell r="E124" t="str">
            <v>Individual Contributor</v>
          </cell>
          <cell r="F124">
            <v>100</v>
          </cell>
          <cell r="G124" t="str">
            <v>Javier Martin</v>
          </cell>
          <cell r="H124" t="str">
            <v>Regular</v>
          </cell>
          <cell r="I124">
            <v>1</v>
          </cell>
          <cell r="J124">
            <v>0.5</v>
          </cell>
          <cell r="K124">
            <v>0.25</v>
          </cell>
          <cell r="L124">
            <v>0.25</v>
          </cell>
          <cell r="M124">
            <v>0</v>
          </cell>
          <cell r="N124">
            <v>0</v>
          </cell>
          <cell r="O124">
            <v>0.6</v>
          </cell>
          <cell r="P124">
            <v>1</v>
          </cell>
          <cell r="Q124">
            <v>0.1</v>
          </cell>
        </row>
        <row r="125">
          <cell r="A125" t="str">
            <v>Fabian Langer</v>
          </cell>
          <cell r="B125" t="str">
            <v>Langer</v>
          </cell>
          <cell r="C125" t="str">
            <v>Fabian</v>
          </cell>
          <cell r="D125" t="str">
            <v>Specialist EMEA</v>
          </cell>
          <cell r="E125" t="str">
            <v>Individual Contributor</v>
          </cell>
          <cell r="F125">
            <v>100</v>
          </cell>
          <cell r="G125" t="str">
            <v>Javier Martin</v>
          </cell>
          <cell r="H125" t="str">
            <v>Regular</v>
          </cell>
          <cell r="I125">
            <v>1</v>
          </cell>
          <cell r="J125">
            <v>0.5</v>
          </cell>
          <cell r="K125">
            <v>0.25</v>
          </cell>
          <cell r="L125">
            <v>0.25</v>
          </cell>
          <cell r="M125">
            <v>0</v>
          </cell>
          <cell r="N125">
            <v>0</v>
          </cell>
          <cell r="O125">
            <v>0.6</v>
          </cell>
          <cell r="P125">
            <v>1</v>
          </cell>
          <cell r="Q125">
            <v>0.1</v>
          </cell>
        </row>
        <row r="126">
          <cell r="A126" t="str">
            <v>Jaime Malpica Laguna</v>
          </cell>
          <cell r="B126" t="str">
            <v>Malpica Laguna</v>
          </cell>
          <cell r="C126" t="str">
            <v>Jaime</v>
          </cell>
          <cell r="D126" t="str">
            <v>Specialist EMEA</v>
          </cell>
          <cell r="E126" t="str">
            <v>Individual Contributor</v>
          </cell>
          <cell r="F126">
            <v>100</v>
          </cell>
          <cell r="G126" t="str">
            <v>Javier Martin</v>
          </cell>
          <cell r="H126" t="str">
            <v>Intern</v>
          </cell>
          <cell r="I126">
            <v>1</v>
          </cell>
          <cell r="J126">
            <v>0.1</v>
          </cell>
          <cell r="K126">
            <v>0.45</v>
          </cell>
          <cell r="L126">
            <v>0.45</v>
          </cell>
          <cell r="M126">
            <v>0</v>
          </cell>
          <cell r="N126">
            <v>0</v>
          </cell>
          <cell r="O126">
            <v>0.6</v>
          </cell>
          <cell r="P126">
            <v>1</v>
          </cell>
          <cell r="Q126">
            <v>0.1</v>
          </cell>
        </row>
        <row r="127">
          <cell r="A127" t="str">
            <v>Elise Medetongnon</v>
          </cell>
          <cell r="B127" t="str">
            <v>Medetongnon</v>
          </cell>
          <cell r="C127" t="str">
            <v>Elise</v>
          </cell>
          <cell r="D127" t="str">
            <v>Specialist EMEA</v>
          </cell>
          <cell r="E127" t="str">
            <v>Individual Contributor</v>
          </cell>
          <cell r="F127">
            <v>100</v>
          </cell>
          <cell r="G127" t="str">
            <v>Javier Martin</v>
          </cell>
          <cell r="H127" t="str">
            <v>Regular</v>
          </cell>
          <cell r="I127">
            <v>1</v>
          </cell>
          <cell r="J127">
            <v>0.4</v>
          </cell>
          <cell r="K127">
            <v>0.2</v>
          </cell>
          <cell r="L127">
            <v>0.2</v>
          </cell>
          <cell r="M127">
            <v>0.2</v>
          </cell>
          <cell r="N127">
            <v>0</v>
          </cell>
          <cell r="O127">
            <v>0.5</v>
          </cell>
          <cell r="P127">
            <v>1</v>
          </cell>
          <cell r="Q127">
            <v>0.5</v>
          </cell>
        </row>
        <row r="128">
          <cell r="A128" t="str">
            <v>Jan Benzing</v>
          </cell>
          <cell r="B128" t="str">
            <v>Benzing</v>
          </cell>
          <cell r="C128" t="str">
            <v>Jan</v>
          </cell>
          <cell r="D128" t="str">
            <v>Specialist AMS</v>
          </cell>
          <cell r="E128" t="str">
            <v>Manager</v>
          </cell>
          <cell r="F128">
            <v>100</v>
          </cell>
          <cell r="G128" t="str">
            <v>Javier Martin</v>
          </cell>
          <cell r="H128" t="str">
            <v>Regular</v>
          </cell>
          <cell r="I128">
            <v>1</v>
          </cell>
          <cell r="J128">
            <v>0.81</v>
          </cell>
          <cell r="K128">
            <v>0.06</v>
          </cell>
          <cell r="L128">
            <v>0.04</v>
          </cell>
          <cell r="M128">
            <v>0.08</v>
          </cell>
          <cell r="N128">
            <v>0.01</v>
          </cell>
          <cell r="O128">
            <v>0.75</v>
          </cell>
          <cell r="P128">
            <v>1</v>
          </cell>
          <cell r="Q128">
            <v>0.35</v>
          </cell>
        </row>
        <row r="129">
          <cell r="A129" t="str">
            <v>Ana Akaishi</v>
          </cell>
          <cell r="B129" t="str">
            <v>Akaishi</v>
          </cell>
          <cell r="C129" t="str">
            <v>Ana</v>
          </cell>
          <cell r="D129" t="str">
            <v>Specialist AMS</v>
          </cell>
          <cell r="E129" t="str">
            <v>Individual Contributor</v>
          </cell>
          <cell r="F129">
            <v>100</v>
          </cell>
          <cell r="G129" t="str">
            <v>Javier Martin</v>
          </cell>
          <cell r="H129" t="str">
            <v>Regular</v>
          </cell>
          <cell r="I129">
            <v>1</v>
          </cell>
          <cell r="J129">
            <v>0.7</v>
          </cell>
          <cell r="K129">
            <v>0.1</v>
          </cell>
          <cell r="L129">
            <v>0.1</v>
          </cell>
          <cell r="M129">
            <v>0.1</v>
          </cell>
          <cell r="N129">
            <v>0</v>
          </cell>
          <cell r="O129">
            <v>0.8</v>
          </cell>
          <cell r="P129">
            <v>1</v>
          </cell>
          <cell r="Q129">
            <v>0.1</v>
          </cell>
        </row>
        <row r="130">
          <cell r="A130" t="str">
            <v>Victor Pinto</v>
          </cell>
          <cell r="B130" t="str">
            <v>Pinto</v>
          </cell>
          <cell r="C130" t="str">
            <v>Victor</v>
          </cell>
          <cell r="D130" t="str">
            <v>Specialist AMS</v>
          </cell>
          <cell r="E130" t="str">
            <v>Individual Contributor</v>
          </cell>
          <cell r="F130">
            <v>100</v>
          </cell>
          <cell r="G130" t="str">
            <v>Javier Martin</v>
          </cell>
          <cell r="H130" t="str">
            <v>Regular</v>
          </cell>
          <cell r="I130">
            <v>1</v>
          </cell>
          <cell r="J130">
            <v>0.88</v>
          </cell>
          <cell r="K130">
            <v>0</v>
          </cell>
          <cell r="L130">
            <v>0</v>
          </cell>
          <cell r="M130">
            <v>0.12</v>
          </cell>
          <cell r="N130">
            <v>0</v>
          </cell>
          <cell r="O130">
            <v>0.88</v>
          </cell>
          <cell r="P130">
            <v>1</v>
          </cell>
          <cell r="Q130">
            <v>0.25</v>
          </cell>
        </row>
        <row r="131">
          <cell r="A131" t="str">
            <v>Nathalia Tescarollo</v>
          </cell>
          <cell r="B131" t="str">
            <v>Tescarollo</v>
          </cell>
          <cell r="C131" t="str">
            <v>Nathalia</v>
          </cell>
          <cell r="D131" t="str">
            <v>Specialist AMS</v>
          </cell>
          <cell r="E131" t="str">
            <v>Individual Contributor</v>
          </cell>
          <cell r="F131">
            <v>100</v>
          </cell>
          <cell r="G131" t="str">
            <v>Javier Martin</v>
          </cell>
          <cell r="H131" t="str">
            <v>Regular</v>
          </cell>
          <cell r="I131">
            <v>1</v>
          </cell>
          <cell r="J131">
            <v>0.23</v>
          </cell>
          <cell r="K131">
            <v>0.2</v>
          </cell>
          <cell r="L131">
            <v>0.11</v>
          </cell>
          <cell r="M131">
            <v>0.28999999999999998</v>
          </cell>
          <cell r="N131">
            <v>0.17</v>
          </cell>
          <cell r="O131">
            <v>0.7</v>
          </cell>
          <cell r="P131">
            <v>1</v>
          </cell>
          <cell r="Q131">
            <v>0.25</v>
          </cell>
        </row>
        <row r="132">
          <cell r="A132" t="str">
            <v>Harika Punyamurthula</v>
          </cell>
          <cell r="B132" t="str">
            <v>Punyamurthula</v>
          </cell>
          <cell r="C132" t="str">
            <v>Harika</v>
          </cell>
          <cell r="D132" t="str">
            <v>Specialist AMS</v>
          </cell>
          <cell r="E132" t="str">
            <v>Individual Contributor</v>
          </cell>
          <cell r="F132">
            <v>100</v>
          </cell>
          <cell r="G132" t="str">
            <v>Javier Martin</v>
          </cell>
          <cell r="H132" t="str">
            <v>Regular</v>
          </cell>
          <cell r="I132">
            <v>1</v>
          </cell>
          <cell r="J132">
            <v>0.34</v>
          </cell>
          <cell r="K132">
            <v>0.33</v>
          </cell>
          <cell r="L132">
            <v>0.11</v>
          </cell>
          <cell r="M132">
            <v>0.22</v>
          </cell>
          <cell r="N132">
            <v>0</v>
          </cell>
          <cell r="O132">
            <v>0.89</v>
          </cell>
          <cell r="P132">
            <v>1</v>
          </cell>
          <cell r="Q132">
            <v>0.22</v>
          </cell>
        </row>
        <row r="133">
          <cell r="A133" t="str">
            <v xml:space="preserve">r20393 Backfill - Scott Drummond </v>
          </cell>
          <cell r="D133" t="str">
            <v>Specialist AMS</v>
          </cell>
          <cell r="E133" t="str">
            <v>Individual Contributor</v>
          </cell>
          <cell r="F133">
            <v>100</v>
          </cell>
          <cell r="G133" t="str">
            <v>Javier Martin</v>
          </cell>
          <cell r="H133" t="str">
            <v>Regular</v>
          </cell>
          <cell r="I133">
            <v>1</v>
          </cell>
          <cell r="J133">
            <v>0.88</v>
          </cell>
          <cell r="K133">
            <v>0</v>
          </cell>
          <cell r="L133">
            <v>0</v>
          </cell>
          <cell r="M133">
            <v>0.12</v>
          </cell>
          <cell r="N133">
            <v>0</v>
          </cell>
          <cell r="O133">
            <v>0.88</v>
          </cell>
          <cell r="P133">
            <v>1</v>
          </cell>
          <cell r="Q133">
            <v>0.25</v>
          </cell>
        </row>
        <row r="134">
          <cell r="A134" t="str">
            <v>Luy Malpighi</v>
          </cell>
          <cell r="B134" t="str">
            <v>Malpighi</v>
          </cell>
          <cell r="C134" t="str">
            <v>Luy</v>
          </cell>
          <cell r="D134" t="str">
            <v>Specialist AMS</v>
          </cell>
          <cell r="E134" t="str">
            <v>Manager</v>
          </cell>
          <cell r="F134">
            <v>50</v>
          </cell>
          <cell r="G134" t="str">
            <v>Javier Martin</v>
          </cell>
          <cell r="H134" t="str">
            <v>Regular</v>
          </cell>
          <cell r="I134">
            <v>1</v>
          </cell>
          <cell r="J134">
            <v>0.53</v>
          </cell>
          <cell r="K134">
            <v>0.18</v>
          </cell>
          <cell r="L134">
            <v>0.15</v>
          </cell>
          <cell r="M134">
            <v>0.13</v>
          </cell>
          <cell r="N134">
            <v>0.01</v>
          </cell>
          <cell r="O134">
            <v>0.6</v>
          </cell>
          <cell r="P134">
            <v>1</v>
          </cell>
          <cell r="Q134">
            <v>0.35</v>
          </cell>
        </row>
        <row r="135">
          <cell r="A135" t="str">
            <v>Luy Malpighi</v>
          </cell>
          <cell r="B135" t="str">
            <v>Malpighi</v>
          </cell>
          <cell r="C135" t="str">
            <v>Luy</v>
          </cell>
          <cell r="D135" t="str">
            <v>Specialist EMEA</v>
          </cell>
          <cell r="E135" t="str">
            <v>Manager</v>
          </cell>
          <cell r="F135">
            <v>50</v>
          </cell>
          <cell r="G135" t="str">
            <v>Javier Martin</v>
          </cell>
          <cell r="H135" t="str">
            <v>Regular</v>
          </cell>
          <cell r="I135">
            <v>1</v>
          </cell>
          <cell r="J135">
            <v>0.53</v>
          </cell>
          <cell r="K135">
            <v>0.18</v>
          </cell>
          <cell r="L135">
            <v>0.15</v>
          </cell>
          <cell r="M135">
            <v>0.13</v>
          </cell>
          <cell r="N135">
            <v>0.01</v>
          </cell>
          <cell r="O135">
            <v>0.6</v>
          </cell>
          <cell r="P135">
            <v>1</v>
          </cell>
          <cell r="Q135">
            <v>0.35</v>
          </cell>
        </row>
        <row r="136">
          <cell r="A136" t="str">
            <v>Haydn Barclay</v>
          </cell>
          <cell r="B136" t="str">
            <v>Barclay</v>
          </cell>
          <cell r="C136" t="str">
            <v>Haydn</v>
          </cell>
          <cell r="D136" t="str">
            <v>Specialist EMEA</v>
          </cell>
          <cell r="E136" t="str">
            <v>Manager</v>
          </cell>
          <cell r="F136">
            <v>100</v>
          </cell>
          <cell r="G136" t="str">
            <v>Javier Martin</v>
          </cell>
          <cell r="H136" t="str">
            <v>Regular</v>
          </cell>
          <cell r="I136">
            <v>1</v>
          </cell>
          <cell r="J136">
            <v>0.55000000000000004</v>
          </cell>
          <cell r="K136">
            <v>0.3</v>
          </cell>
          <cell r="L136">
            <v>0.14000000000000001</v>
          </cell>
          <cell r="M136">
            <v>0.01</v>
          </cell>
          <cell r="N136">
            <v>0</v>
          </cell>
          <cell r="O136">
            <v>0.6</v>
          </cell>
          <cell r="P136">
            <v>1</v>
          </cell>
          <cell r="Q136">
            <v>0.25</v>
          </cell>
        </row>
        <row r="137">
          <cell r="A137" t="str">
            <v>Matteo Zuccon</v>
          </cell>
          <cell r="B137" t="str">
            <v>Zuccon</v>
          </cell>
          <cell r="C137" t="str">
            <v>Matteo</v>
          </cell>
          <cell r="D137" t="str">
            <v>Specialist EMEA</v>
          </cell>
          <cell r="E137" t="str">
            <v>Manager</v>
          </cell>
          <cell r="F137">
            <v>100</v>
          </cell>
          <cell r="G137" t="str">
            <v>Javier Martin</v>
          </cell>
          <cell r="H137" t="str">
            <v>Regular</v>
          </cell>
          <cell r="I137">
            <v>1</v>
          </cell>
          <cell r="J137">
            <v>0.4</v>
          </cell>
          <cell r="K137">
            <v>0.14000000000000001</v>
          </cell>
          <cell r="L137">
            <v>0.2</v>
          </cell>
          <cell r="M137">
            <v>0.25</v>
          </cell>
          <cell r="N137">
            <v>0.01</v>
          </cell>
          <cell r="O137">
            <v>0.7</v>
          </cell>
          <cell r="P137">
            <v>1</v>
          </cell>
          <cell r="Q137">
            <v>0.3</v>
          </cell>
        </row>
        <row r="138">
          <cell r="A138" t="str">
            <v>r20153 (Sr. SE - EMEA - Filled)</v>
          </cell>
          <cell r="D138" t="str">
            <v>Specialist EMEA</v>
          </cell>
          <cell r="E138" t="str">
            <v>Individual Contributor</v>
          </cell>
          <cell r="F138">
            <v>100</v>
          </cell>
          <cell r="G138" t="str">
            <v>Javier Martin</v>
          </cell>
          <cell r="H138" t="str">
            <v>Regular</v>
          </cell>
          <cell r="I138">
            <v>1</v>
          </cell>
          <cell r="J138">
            <v>0.39</v>
          </cell>
          <cell r="K138">
            <v>0.09</v>
          </cell>
          <cell r="L138">
            <v>0.3</v>
          </cell>
          <cell r="M138">
            <v>0.22</v>
          </cell>
          <cell r="N138">
            <v>0</v>
          </cell>
          <cell r="O138">
            <v>0.7</v>
          </cell>
          <cell r="P138">
            <v>1</v>
          </cell>
          <cell r="Q138">
            <v>0.3</v>
          </cell>
        </row>
        <row r="139">
          <cell r="A139" t="str">
            <v>Giulia Corsetti</v>
          </cell>
          <cell r="B139" t="str">
            <v>Corsetti</v>
          </cell>
          <cell r="C139" t="str">
            <v>Giulia</v>
          </cell>
          <cell r="D139" t="str">
            <v>Specialist EMEA</v>
          </cell>
          <cell r="E139" t="str">
            <v>Manager</v>
          </cell>
          <cell r="F139">
            <v>100</v>
          </cell>
          <cell r="G139" t="str">
            <v>Javier Martin</v>
          </cell>
          <cell r="H139" t="str">
            <v>Regular</v>
          </cell>
          <cell r="I139">
            <v>1</v>
          </cell>
          <cell r="J139">
            <v>0.38</v>
          </cell>
          <cell r="K139">
            <v>0.32</v>
          </cell>
          <cell r="L139">
            <v>0.3</v>
          </cell>
          <cell r="M139">
            <v>0</v>
          </cell>
          <cell r="N139">
            <v>0</v>
          </cell>
          <cell r="O139">
            <v>0.6</v>
          </cell>
          <cell r="P139">
            <v>1</v>
          </cell>
          <cell r="Q139">
            <v>0.25</v>
          </cell>
        </row>
        <row r="140">
          <cell r="A140" t="str">
            <v>Tobias Brockmeyer</v>
          </cell>
          <cell r="B140" t="str">
            <v>Brockmeyer</v>
          </cell>
          <cell r="C140" t="str">
            <v>Tobias</v>
          </cell>
          <cell r="D140" t="str">
            <v>Specialist EMEA</v>
          </cell>
          <cell r="E140" t="str">
            <v>Individual Contributor</v>
          </cell>
          <cell r="F140">
            <v>100</v>
          </cell>
          <cell r="G140" t="str">
            <v>Javier Martin</v>
          </cell>
          <cell r="H140" t="str">
            <v>Regular</v>
          </cell>
          <cell r="I140">
            <v>1</v>
          </cell>
          <cell r="J140">
            <v>0.5</v>
          </cell>
          <cell r="K140">
            <v>0.25</v>
          </cell>
          <cell r="L140">
            <v>0.25</v>
          </cell>
          <cell r="M140">
            <v>0</v>
          </cell>
          <cell r="N140">
            <v>0</v>
          </cell>
          <cell r="O140">
            <v>0.6</v>
          </cell>
          <cell r="P140">
            <v>1</v>
          </cell>
          <cell r="Q140">
            <v>0.1</v>
          </cell>
        </row>
        <row r="141">
          <cell r="A141" t="str">
            <v>Enrique Pérez Heredia</v>
          </cell>
          <cell r="B141" t="str">
            <v>Pérez Heredia</v>
          </cell>
          <cell r="C141" t="str">
            <v>Enrique</v>
          </cell>
          <cell r="D141" t="str">
            <v>Specialist EMEA</v>
          </cell>
          <cell r="E141" t="str">
            <v>Individual Contributor</v>
          </cell>
          <cell r="F141">
            <v>100</v>
          </cell>
          <cell r="G141" t="str">
            <v>Javier Martin</v>
          </cell>
          <cell r="H141" t="str">
            <v>Regular</v>
          </cell>
          <cell r="I141">
            <v>1</v>
          </cell>
          <cell r="J141">
            <v>0.75</v>
          </cell>
          <cell r="K141">
            <v>0.25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1</v>
          </cell>
          <cell r="Q141">
            <v>0.1</v>
          </cell>
        </row>
        <row r="142">
          <cell r="A142" t="str">
            <v>Elise Fournel</v>
          </cell>
          <cell r="B142" t="str">
            <v>Fournel</v>
          </cell>
          <cell r="C142" t="str">
            <v>Elise</v>
          </cell>
          <cell r="D142" t="str">
            <v>Specialist EMEA</v>
          </cell>
          <cell r="E142" t="str">
            <v>Individual Contributor</v>
          </cell>
          <cell r="F142">
            <v>100</v>
          </cell>
          <cell r="G142" t="str">
            <v>Javier Martin</v>
          </cell>
          <cell r="H142" t="str">
            <v>Regular</v>
          </cell>
          <cell r="I142">
            <v>1</v>
          </cell>
          <cell r="J142">
            <v>0.45</v>
          </cell>
          <cell r="K142">
            <v>0.35</v>
          </cell>
          <cell r="L142">
            <v>0.1</v>
          </cell>
          <cell r="M142">
            <v>0.1</v>
          </cell>
          <cell r="N142">
            <v>0</v>
          </cell>
          <cell r="O142">
            <v>0.6</v>
          </cell>
          <cell r="P142">
            <v>1</v>
          </cell>
          <cell r="Q142">
            <v>0.1</v>
          </cell>
        </row>
        <row r="143">
          <cell r="A143" t="str">
            <v>Antonio Valbuena Sánchez</v>
          </cell>
          <cell r="B143" t="str">
            <v>Valbuena Sánchez</v>
          </cell>
          <cell r="C143" t="str">
            <v>Antonio</v>
          </cell>
          <cell r="D143" t="str">
            <v>Specialist EMEA</v>
          </cell>
          <cell r="E143" t="str">
            <v>Individual Contributor</v>
          </cell>
          <cell r="F143">
            <v>100</v>
          </cell>
          <cell r="G143" t="str">
            <v>Javier Martin</v>
          </cell>
          <cell r="H143" t="str">
            <v>Regular</v>
          </cell>
          <cell r="I143">
            <v>1</v>
          </cell>
          <cell r="J143">
            <v>0.6</v>
          </cell>
          <cell r="K143">
            <v>0.2</v>
          </cell>
          <cell r="L143">
            <v>0.15</v>
          </cell>
          <cell r="M143">
            <v>0.05</v>
          </cell>
          <cell r="N143">
            <v>0</v>
          </cell>
          <cell r="O143">
            <v>0.6</v>
          </cell>
          <cell r="P143">
            <v>1</v>
          </cell>
          <cell r="Q143">
            <v>0.1</v>
          </cell>
        </row>
        <row r="144">
          <cell r="A144" t="str">
            <v>Helena Carré</v>
          </cell>
          <cell r="D144" t="str">
            <v>Specialist EMEA</v>
          </cell>
          <cell r="E144" t="str">
            <v>Individual Contributor</v>
          </cell>
          <cell r="F144">
            <v>100</v>
          </cell>
          <cell r="G144" t="str">
            <v>Javier Martin</v>
          </cell>
          <cell r="H144" t="str">
            <v>Regular</v>
          </cell>
          <cell r="I144">
            <v>1</v>
          </cell>
          <cell r="J144">
            <v>0.6</v>
          </cell>
          <cell r="K144">
            <v>0.3</v>
          </cell>
          <cell r="L144">
            <v>0.1</v>
          </cell>
          <cell r="M144">
            <v>0</v>
          </cell>
          <cell r="N144">
            <v>0</v>
          </cell>
          <cell r="O144">
            <v>0.6</v>
          </cell>
          <cell r="P144">
            <v>1</v>
          </cell>
          <cell r="Q144">
            <v>0.1</v>
          </cell>
        </row>
        <row r="145">
          <cell r="A145" t="str">
            <v>r20025 (Incrementality Inv. Case - EMEA - Filled)</v>
          </cell>
          <cell r="D145" t="str">
            <v>Specialist EMEA</v>
          </cell>
          <cell r="E145" t="str">
            <v>Individual Contributor</v>
          </cell>
          <cell r="F145">
            <v>100</v>
          </cell>
          <cell r="G145" t="str">
            <v>Javier Martin</v>
          </cell>
          <cell r="H145" t="str">
            <v>Regular</v>
          </cell>
          <cell r="I145">
            <v>1</v>
          </cell>
          <cell r="J145">
            <v>0.6</v>
          </cell>
          <cell r="K145">
            <v>0.3</v>
          </cell>
          <cell r="L145">
            <v>0.1</v>
          </cell>
          <cell r="M145">
            <v>0</v>
          </cell>
          <cell r="N145">
            <v>0</v>
          </cell>
          <cell r="O145">
            <v>0.6</v>
          </cell>
          <cell r="P145">
            <v>1</v>
          </cell>
          <cell r="Q145">
            <v>0.1</v>
          </cell>
        </row>
        <row r="146">
          <cell r="A146" t="str">
            <v>r20013 (Sr. Data Analyst - AMER - Filled)</v>
          </cell>
          <cell r="D146" t="str">
            <v>Specialist AMS</v>
          </cell>
          <cell r="E146" t="str">
            <v>Individual Contributor</v>
          </cell>
          <cell r="F146">
            <v>100</v>
          </cell>
          <cell r="G146" t="str">
            <v>Javier Martin</v>
          </cell>
          <cell r="H146" t="str">
            <v>Regular</v>
          </cell>
          <cell r="I146">
            <v>1</v>
          </cell>
          <cell r="J146">
            <v>0.7</v>
          </cell>
          <cell r="K146">
            <v>0.1</v>
          </cell>
          <cell r="L146">
            <v>0.1</v>
          </cell>
          <cell r="M146">
            <v>0.1</v>
          </cell>
          <cell r="N146">
            <v>0</v>
          </cell>
          <cell r="O146">
            <v>0.8</v>
          </cell>
          <cell r="P146">
            <v>1</v>
          </cell>
          <cell r="Q146">
            <v>0.1</v>
          </cell>
        </row>
        <row r="147">
          <cell r="A147" t="str">
            <v>Faizan Akhtar</v>
          </cell>
          <cell r="B147" t="str">
            <v>Akhtar</v>
          </cell>
          <cell r="C147" t="str">
            <v>Faizan</v>
          </cell>
          <cell r="D147" t="str">
            <v>Specialist EMEA</v>
          </cell>
          <cell r="E147" t="str">
            <v>Individual Contributor</v>
          </cell>
          <cell r="F147">
            <v>100</v>
          </cell>
          <cell r="G147" t="str">
            <v>Javier Martin</v>
          </cell>
          <cell r="H147" t="str">
            <v>Regular</v>
          </cell>
          <cell r="I147">
            <v>1</v>
          </cell>
          <cell r="J147">
            <v>0.17</v>
          </cell>
          <cell r="K147">
            <v>0.17</v>
          </cell>
          <cell r="L147">
            <v>0.16</v>
          </cell>
          <cell r="M147">
            <v>0.5</v>
          </cell>
          <cell r="N147">
            <v>0</v>
          </cell>
          <cell r="O147">
            <v>0.67</v>
          </cell>
          <cell r="P147">
            <v>1</v>
          </cell>
          <cell r="Q147">
            <v>0.17</v>
          </cell>
        </row>
        <row r="148">
          <cell r="A148" t="str">
            <v>Narendran Selvam</v>
          </cell>
          <cell r="B148" t="str">
            <v>Selvam</v>
          </cell>
          <cell r="C148" t="str">
            <v>Narendran</v>
          </cell>
          <cell r="D148" t="str">
            <v>Specialist EMEA</v>
          </cell>
          <cell r="E148" t="str">
            <v>Individual Contributor</v>
          </cell>
          <cell r="F148">
            <v>100</v>
          </cell>
          <cell r="G148" t="str">
            <v>Javier Martin</v>
          </cell>
          <cell r="H148" t="str">
            <v>Regular</v>
          </cell>
          <cell r="I148">
            <v>1</v>
          </cell>
          <cell r="J148">
            <v>0.38</v>
          </cell>
          <cell r="K148">
            <v>0.38</v>
          </cell>
          <cell r="L148">
            <v>0</v>
          </cell>
          <cell r="M148">
            <v>0.06</v>
          </cell>
          <cell r="N148">
            <v>0.18</v>
          </cell>
          <cell r="O148">
            <v>0.4</v>
          </cell>
          <cell r="P148">
            <v>1</v>
          </cell>
          <cell r="Q148">
            <v>0.7</v>
          </cell>
        </row>
        <row r="149">
          <cell r="A149" t="str">
            <v>Iqaan Azad</v>
          </cell>
          <cell r="B149" t="str">
            <v>Azad</v>
          </cell>
          <cell r="C149" t="str">
            <v>Iqaan</v>
          </cell>
          <cell r="D149" t="str">
            <v>Specialist EMEA</v>
          </cell>
          <cell r="E149" t="str">
            <v>Individual Contributor</v>
          </cell>
          <cell r="F149">
            <v>100</v>
          </cell>
          <cell r="G149" t="str">
            <v>Javier Martin</v>
          </cell>
          <cell r="H149" t="str">
            <v>Regular</v>
          </cell>
          <cell r="I149">
            <v>1</v>
          </cell>
          <cell r="J149">
            <v>0.5</v>
          </cell>
          <cell r="K149">
            <v>0.25</v>
          </cell>
          <cell r="L149">
            <v>0</v>
          </cell>
          <cell r="M149">
            <v>0.25</v>
          </cell>
          <cell r="N149">
            <v>0</v>
          </cell>
          <cell r="O149">
            <v>1</v>
          </cell>
          <cell r="P149">
            <v>1</v>
          </cell>
          <cell r="Q149">
            <v>0</v>
          </cell>
        </row>
        <row r="150">
          <cell r="A150" t="str">
            <v>Stefano Belli</v>
          </cell>
          <cell r="B150" t="str">
            <v>Belli</v>
          </cell>
          <cell r="C150" t="str">
            <v>Stefano</v>
          </cell>
          <cell r="D150" t="str">
            <v>Specialist EMEA</v>
          </cell>
          <cell r="E150" t="str">
            <v>Individual Contributor</v>
          </cell>
          <cell r="F150">
            <v>100</v>
          </cell>
          <cell r="G150" t="str">
            <v>Javier Martin</v>
          </cell>
          <cell r="H150" t="str">
            <v>Regular</v>
          </cell>
          <cell r="I150">
            <v>1</v>
          </cell>
          <cell r="J150">
            <v>0.4</v>
          </cell>
          <cell r="K150">
            <v>0.2</v>
          </cell>
          <cell r="L150">
            <v>0.1</v>
          </cell>
          <cell r="M150">
            <v>0.3</v>
          </cell>
          <cell r="N150">
            <v>0</v>
          </cell>
          <cell r="O150">
            <v>0.75</v>
          </cell>
          <cell r="P150">
            <v>1</v>
          </cell>
          <cell r="Q150">
            <v>0.2</v>
          </cell>
        </row>
        <row r="151">
          <cell r="A151" t="str">
            <v>r20380 Backfill - Gabriel Fernández de Jáuregui Ruiz</v>
          </cell>
          <cell r="B151" t="str">
            <v>Fernández de Jáuregui</v>
          </cell>
          <cell r="C151" t="str">
            <v>Gabriel</v>
          </cell>
          <cell r="D151" t="str">
            <v>Specialist EMEA</v>
          </cell>
          <cell r="E151" t="str">
            <v>Individual Contributor</v>
          </cell>
          <cell r="F151">
            <v>100</v>
          </cell>
          <cell r="G151" t="str">
            <v>Javier Martin</v>
          </cell>
          <cell r="H151" t="str">
            <v>Regular</v>
          </cell>
          <cell r="I151">
            <v>1</v>
          </cell>
          <cell r="J151">
            <v>0.4</v>
          </cell>
          <cell r="K151">
            <v>0.2</v>
          </cell>
          <cell r="L151">
            <v>0.1</v>
          </cell>
          <cell r="M151">
            <v>0.3</v>
          </cell>
          <cell r="N151">
            <v>0</v>
          </cell>
          <cell r="O151">
            <v>0.75</v>
          </cell>
          <cell r="P151">
            <v>1</v>
          </cell>
          <cell r="Q151">
            <v>0.2</v>
          </cell>
        </row>
        <row r="152">
          <cell r="A152" t="str">
            <v>Nicolas Thielen</v>
          </cell>
          <cell r="B152" t="str">
            <v>Thielen</v>
          </cell>
          <cell r="C152" t="str">
            <v>Nicolas</v>
          </cell>
          <cell r="D152" t="str">
            <v>TO EMEA</v>
          </cell>
          <cell r="E152" t="str">
            <v>Manager</v>
          </cell>
          <cell r="F152">
            <v>100</v>
          </cell>
          <cell r="G152" t="str">
            <v>Javier Martin</v>
          </cell>
          <cell r="H152" t="str">
            <v>Regular</v>
          </cell>
          <cell r="I152">
            <v>1</v>
          </cell>
          <cell r="J152">
            <v>0.05</v>
          </cell>
          <cell r="K152">
            <v>0</v>
          </cell>
          <cell r="L152">
            <v>0.35</v>
          </cell>
          <cell r="M152">
            <v>0.55000000000000004</v>
          </cell>
          <cell r="N152">
            <v>0.05</v>
          </cell>
          <cell r="O152">
            <v>0.65</v>
          </cell>
          <cell r="P152">
            <v>0</v>
          </cell>
          <cell r="Q152">
            <v>1</v>
          </cell>
        </row>
        <row r="153">
          <cell r="A153" t="str">
            <v>Javier Bernal Arencibia</v>
          </cell>
          <cell r="B153" t="str">
            <v>Bernal Arencibia</v>
          </cell>
          <cell r="C153" t="str">
            <v>Javier</v>
          </cell>
          <cell r="D153" t="str">
            <v>TO EMEA</v>
          </cell>
          <cell r="E153" t="str">
            <v>Manager</v>
          </cell>
          <cell r="F153">
            <v>100</v>
          </cell>
          <cell r="G153" t="str">
            <v>Javier Martin</v>
          </cell>
          <cell r="H153" t="str">
            <v>Regular</v>
          </cell>
          <cell r="I153">
            <v>1</v>
          </cell>
          <cell r="J153">
            <v>0.05</v>
          </cell>
          <cell r="K153">
            <v>0</v>
          </cell>
          <cell r="L153">
            <v>0.35</v>
          </cell>
          <cell r="M153">
            <v>0.55000000000000004</v>
          </cell>
          <cell r="N153">
            <v>0.05</v>
          </cell>
          <cell r="O153">
            <v>0.65</v>
          </cell>
          <cell r="P153">
            <v>0</v>
          </cell>
          <cell r="Q153">
            <v>1</v>
          </cell>
        </row>
        <row r="154">
          <cell r="A154" t="str">
            <v>ANNA FERRARINI</v>
          </cell>
          <cell r="B154" t="str">
            <v>FERRARINI</v>
          </cell>
          <cell r="C154" t="str">
            <v>ANNA</v>
          </cell>
          <cell r="D154" t="str">
            <v>TO EMEA</v>
          </cell>
          <cell r="E154" t="str">
            <v>Individual Contributor</v>
          </cell>
          <cell r="F154">
            <v>100</v>
          </cell>
          <cell r="G154" t="str">
            <v>Javier Martin</v>
          </cell>
          <cell r="H154" t="str">
            <v>Regular</v>
          </cell>
          <cell r="I154">
            <v>1</v>
          </cell>
          <cell r="J154">
            <v>0.05</v>
          </cell>
          <cell r="K154">
            <v>0.05</v>
          </cell>
          <cell r="L154">
            <v>0.15</v>
          </cell>
          <cell r="M154">
            <v>0.6</v>
          </cell>
          <cell r="N154">
            <v>0.15</v>
          </cell>
          <cell r="O154">
            <v>0.5</v>
          </cell>
          <cell r="P154">
            <v>0</v>
          </cell>
          <cell r="Q154">
            <v>1</v>
          </cell>
        </row>
        <row r="155">
          <cell r="A155" t="str">
            <v>Tiziana D'Addato</v>
          </cell>
          <cell r="B155" t="str">
            <v>D'Addato</v>
          </cell>
          <cell r="C155" t="str">
            <v>Tiziana</v>
          </cell>
          <cell r="D155" t="str">
            <v>TO EMEA</v>
          </cell>
          <cell r="E155" t="str">
            <v>Individual Contributor</v>
          </cell>
          <cell r="F155">
            <v>100</v>
          </cell>
          <cell r="G155" t="str">
            <v>Javier Martin</v>
          </cell>
          <cell r="H155" t="str">
            <v>Regular</v>
          </cell>
          <cell r="I155">
            <v>1</v>
          </cell>
          <cell r="J155">
            <v>0</v>
          </cell>
          <cell r="K155">
            <v>7.0000000000000007E-2</v>
          </cell>
          <cell r="L155">
            <v>0.18</v>
          </cell>
          <cell r="M155">
            <v>0.6</v>
          </cell>
          <cell r="N155">
            <v>0.15</v>
          </cell>
          <cell r="O155">
            <v>0.5</v>
          </cell>
          <cell r="P155">
            <v>0</v>
          </cell>
          <cell r="Q155">
            <v>1</v>
          </cell>
        </row>
        <row r="156">
          <cell r="A156" t="str">
            <v>Murat Baş</v>
          </cell>
          <cell r="B156" t="str">
            <v>Baş</v>
          </cell>
          <cell r="C156" t="str">
            <v>Murat</v>
          </cell>
          <cell r="D156" t="str">
            <v>TO EMEA</v>
          </cell>
          <cell r="E156" t="str">
            <v>Individual Contributor</v>
          </cell>
          <cell r="F156">
            <v>100</v>
          </cell>
          <cell r="G156" t="str">
            <v>Javier Martin</v>
          </cell>
          <cell r="H156" t="str">
            <v>Regular</v>
          </cell>
          <cell r="I156">
            <v>1</v>
          </cell>
          <cell r="J156">
            <v>0.1</v>
          </cell>
          <cell r="K156">
            <v>0</v>
          </cell>
          <cell r="L156">
            <v>0.4</v>
          </cell>
          <cell r="M156">
            <v>0.45</v>
          </cell>
          <cell r="N156">
            <v>0.05</v>
          </cell>
          <cell r="O156">
            <v>0.5</v>
          </cell>
          <cell r="P156">
            <v>0</v>
          </cell>
          <cell r="Q156">
            <v>1</v>
          </cell>
        </row>
        <row r="157">
          <cell r="A157" t="str">
            <v>Romain Martini</v>
          </cell>
          <cell r="B157" t="str">
            <v>Martini</v>
          </cell>
          <cell r="C157" t="str">
            <v>Romain</v>
          </cell>
          <cell r="D157" t="str">
            <v>TO EMEA</v>
          </cell>
          <cell r="E157" t="str">
            <v>Individual Contributor</v>
          </cell>
          <cell r="F157">
            <v>100</v>
          </cell>
          <cell r="G157" t="str">
            <v>Javier Martin</v>
          </cell>
          <cell r="H157" t="str">
            <v>Regular</v>
          </cell>
          <cell r="I157">
            <v>1</v>
          </cell>
          <cell r="J157">
            <v>0.05</v>
          </cell>
          <cell r="K157">
            <v>0</v>
          </cell>
          <cell r="L157">
            <v>0.3</v>
          </cell>
          <cell r="M157">
            <v>0.55000000000000004</v>
          </cell>
          <cell r="N157">
            <v>0.1</v>
          </cell>
          <cell r="O157">
            <v>0.25</v>
          </cell>
          <cell r="P157">
            <v>0</v>
          </cell>
          <cell r="Q157">
            <v>1</v>
          </cell>
        </row>
        <row r="158">
          <cell r="A158" t="str">
            <v>Andy Padel</v>
          </cell>
          <cell r="B158" t="str">
            <v>Padel</v>
          </cell>
          <cell r="C158" t="str">
            <v>Andy</v>
          </cell>
          <cell r="D158" t="str">
            <v>TO EMEA</v>
          </cell>
          <cell r="E158" t="str">
            <v>Individual Contributor</v>
          </cell>
          <cell r="F158">
            <v>100</v>
          </cell>
          <cell r="G158" t="str">
            <v>Javier Martin</v>
          </cell>
          <cell r="H158" t="str">
            <v>Regular</v>
          </cell>
          <cell r="I158">
            <v>1</v>
          </cell>
          <cell r="J158">
            <v>0.1</v>
          </cell>
          <cell r="K158">
            <v>0</v>
          </cell>
          <cell r="L158">
            <v>0.35</v>
          </cell>
          <cell r="M158">
            <v>0.45</v>
          </cell>
          <cell r="N158">
            <v>0.1</v>
          </cell>
          <cell r="O158">
            <v>0.65</v>
          </cell>
          <cell r="P158">
            <v>0</v>
          </cell>
          <cell r="Q158">
            <v>1</v>
          </cell>
        </row>
        <row r="159">
          <cell r="A159" t="str">
            <v>Tony Granado</v>
          </cell>
          <cell r="B159" t="str">
            <v>Granado</v>
          </cell>
          <cell r="C159" t="str">
            <v>Tony</v>
          </cell>
          <cell r="D159" t="str">
            <v>TO EMEA</v>
          </cell>
          <cell r="E159" t="str">
            <v>Individual Contributor</v>
          </cell>
          <cell r="F159">
            <v>100</v>
          </cell>
          <cell r="G159" t="str">
            <v>Javier Martin</v>
          </cell>
          <cell r="H159" t="str">
            <v>Regular</v>
          </cell>
          <cell r="I159">
            <v>1</v>
          </cell>
          <cell r="J159">
            <v>0</v>
          </cell>
          <cell r="K159">
            <v>0</v>
          </cell>
          <cell r="L159">
            <v>0.35</v>
          </cell>
          <cell r="M159">
            <v>0.55000000000000004</v>
          </cell>
          <cell r="N159">
            <v>0.1</v>
          </cell>
          <cell r="O159">
            <v>0.8</v>
          </cell>
          <cell r="P159">
            <v>0</v>
          </cell>
          <cell r="Q159">
            <v>1</v>
          </cell>
        </row>
        <row r="160">
          <cell r="A160" t="str">
            <v>Anna Rodriguez Mata</v>
          </cell>
          <cell r="B160" t="str">
            <v>Rodriguez Mata</v>
          </cell>
          <cell r="C160" t="str">
            <v>Anna</v>
          </cell>
          <cell r="D160" t="str">
            <v>TO EMEA</v>
          </cell>
          <cell r="E160" t="str">
            <v>Individual Contributor</v>
          </cell>
          <cell r="F160">
            <v>100</v>
          </cell>
          <cell r="G160" t="str">
            <v>Javier Martin</v>
          </cell>
          <cell r="H160" t="str">
            <v>Regular</v>
          </cell>
          <cell r="I160">
            <v>1</v>
          </cell>
          <cell r="J160">
            <v>0.05</v>
          </cell>
          <cell r="K160">
            <v>0</v>
          </cell>
          <cell r="L160">
            <v>0.35</v>
          </cell>
          <cell r="M160">
            <v>0.6</v>
          </cell>
          <cell r="N160">
            <v>0</v>
          </cell>
          <cell r="O160">
            <v>1</v>
          </cell>
          <cell r="P160">
            <v>0</v>
          </cell>
          <cell r="Q160">
            <v>1</v>
          </cell>
        </row>
        <row r="161">
          <cell r="A161" t="str">
            <v>Alexandru Dinu (On Leave)</v>
          </cell>
          <cell r="B161" t="str">
            <v>Dinu</v>
          </cell>
          <cell r="C161" t="str">
            <v>Alexandru</v>
          </cell>
          <cell r="D161" t="str">
            <v>TO EMEA</v>
          </cell>
          <cell r="E161" t="str">
            <v>Individual Contributor</v>
          </cell>
          <cell r="F161">
            <v>0</v>
          </cell>
          <cell r="G161" t="str">
            <v>Javier Martin</v>
          </cell>
          <cell r="H161" t="str">
            <v>Regular</v>
          </cell>
          <cell r="I161">
            <v>1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/>
          <cell r="P161"/>
          <cell r="Q161">
            <v>1</v>
          </cell>
        </row>
        <row r="162">
          <cell r="A162" t="str">
            <v>Marcela Cuadra</v>
          </cell>
          <cell r="B162" t="str">
            <v>Cuadra</v>
          </cell>
          <cell r="C162" t="str">
            <v>Marcela</v>
          </cell>
          <cell r="D162" t="str">
            <v>TO EMEA</v>
          </cell>
          <cell r="E162" t="str">
            <v>Individual Contributor</v>
          </cell>
          <cell r="F162">
            <v>100</v>
          </cell>
          <cell r="G162" t="str">
            <v>Javier Martin</v>
          </cell>
          <cell r="H162" t="str">
            <v>Regular</v>
          </cell>
          <cell r="I162">
            <v>1</v>
          </cell>
          <cell r="J162">
            <v>0.05</v>
          </cell>
          <cell r="K162">
            <v>0.05</v>
          </cell>
          <cell r="L162">
            <v>0.25</v>
          </cell>
          <cell r="M162">
            <v>0.5</v>
          </cell>
          <cell r="N162">
            <v>0.15</v>
          </cell>
          <cell r="O162">
            <v>0.75</v>
          </cell>
          <cell r="P162">
            <v>0</v>
          </cell>
          <cell r="Q162">
            <v>1</v>
          </cell>
        </row>
        <row r="163">
          <cell r="A163" t="str">
            <v>Backfill - Ebru Cengiz</v>
          </cell>
          <cell r="D163" t="str">
            <v>TO EMEA</v>
          </cell>
          <cell r="E163" t="str">
            <v>Individual Contributor</v>
          </cell>
          <cell r="F163">
            <v>100</v>
          </cell>
          <cell r="G163" t="str">
            <v>Javier Martin</v>
          </cell>
          <cell r="H163" t="str">
            <v>Regular</v>
          </cell>
          <cell r="I163">
            <v>1</v>
          </cell>
          <cell r="J163">
            <v>0</v>
          </cell>
          <cell r="K163">
            <v>0</v>
          </cell>
          <cell r="L163">
            <v>0.3</v>
          </cell>
          <cell r="M163">
            <v>0.6</v>
          </cell>
          <cell r="N163">
            <v>0.1</v>
          </cell>
          <cell r="O163">
            <v>0.75</v>
          </cell>
          <cell r="P163">
            <v>0</v>
          </cell>
          <cell r="Q163">
            <v>1</v>
          </cell>
        </row>
        <row r="164">
          <cell r="A164" t="str">
            <v>BF1</v>
          </cell>
          <cell r="D164" t="str">
            <v>TO EMEA</v>
          </cell>
          <cell r="E164" t="str">
            <v>Individual Contributor</v>
          </cell>
          <cell r="F164">
            <v>100</v>
          </cell>
          <cell r="G164" t="str">
            <v>Javier Martin</v>
          </cell>
          <cell r="H164" t="str">
            <v>Regular</v>
          </cell>
          <cell r="I164">
            <v>1</v>
          </cell>
          <cell r="J164">
            <v>0</v>
          </cell>
          <cell r="K164">
            <v>0</v>
          </cell>
          <cell r="L164">
            <v>0.3</v>
          </cell>
          <cell r="M164">
            <v>0.6</v>
          </cell>
          <cell r="N164">
            <v>0.1</v>
          </cell>
          <cell r="O164">
            <v>0.75</v>
          </cell>
          <cell r="P164">
            <v>0</v>
          </cell>
          <cell r="Q164">
            <v>1</v>
          </cell>
        </row>
        <row r="165">
          <cell r="A165" t="str">
            <v>BF2</v>
          </cell>
          <cell r="D165" t="str">
            <v>TO EMEA</v>
          </cell>
          <cell r="E165" t="str">
            <v>Individual Contributor</v>
          </cell>
          <cell r="F165">
            <v>100</v>
          </cell>
          <cell r="G165" t="str">
            <v>Javier Martin</v>
          </cell>
          <cell r="H165" t="str">
            <v>Regular</v>
          </cell>
          <cell r="I165">
            <v>1</v>
          </cell>
          <cell r="J165">
            <v>0</v>
          </cell>
          <cell r="K165">
            <v>0</v>
          </cell>
          <cell r="L165">
            <v>0.3</v>
          </cell>
          <cell r="M165">
            <v>0.6</v>
          </cell>
          <cell r="N165">
            <v>0.1</v>
          </cell>
          <cell r="O165">
            <v>0.75</v>
          </cell>
          <cell r="P165">
            <v>0</v>
          </cell>
          <cell r="Q165">
            <v>1</v>
          </cell>
        </row>
        <row r="166">
          <cell r="A166" t="str">
            <v>BF3</v>
          </cell>
          <cell r="D166" t="str">
            <v>TO EMEA</v>
          </cell>
          <cell r="E166" t="str">
            <v>Individual Contributor</v>
          </cell>
          <cell r="F166">
            <v>100</v>
          </cell>
          <cell r="G166" t="str">
            <v>Javier Martin</v>
          </cell>
          <cell r="H166" t="str">
            <v>Regular</v>
          </cell>
          <cell r="I166">
            <v>1</v>
          </cell>
          <cell r="J166">
            <v>0</v>
          </cell>
          <cell r="K166">
            <v>0</v>
          </cell>
          <cell r="L166">
            <v>0.3</v>
          </cell>
          <cell r="M166">
            <v>0.6</v>
          </cell>
          <cell r="N166">
            <v>0.1</v>
          </cell>
          <cell r="O166">
            <v>0.75</v>
          </cell>
          <cell r="P166">
            <v>0</v>
          </cell>
          <cell r="Q166">
            <v>1</v>
          </cell>
        </row>
        <row r="167">
          <cell r="A167" t="str">
            <v>BF4</v>
          </cell>
          <cell r="D167" t="str">
            <v>TO EMEA</v>
          </cell>
          <cell r="E167" t="str">
            <v>Individual Contributor</v>
          </cell>
          <cell r="F167">
            <v>100</v>
          </cell>
          <cell r="G167" t="str">
            <v>Javier Martin</v>
          </cell>
          <cell r="H167" t="str">
            <v>Regular</v>
          </cell>
          <cell r="I167">
            <v>1</v>
          </cell>
          <cell r="J167">
            <v>0</v>
          </cell>
          <cell r="K167">
            <v>0</v>
          </cell>
          <cell r="L167">
            <v>0.3</v>
          </cell>
          <cell r="M167">
            <v>0.6</v>
          </cell>
          <cell r="N167">
            <v>0.1</v>
          </cell>
          <cell r="O167">
            <v>0.75</v>
          </cell>
          <cell r="P167">
            <v>0</v>
          </cell>
          <cell r="Q167">
            <v>1</v>
          </cell>
        </row>
        <row r="168">
          <cell r="A168" t="str">
            <v xml:space="preserve">Adam DeGuire </v>
          </cell>
          <cell r="B168" t="str">
            <v>terminated</v>
          </cell>
          <cell r="C168" t="str">
            <v>terminated</v>
          </cell>
          <cell r="D168" t="str">
            <v>TS AMS</v>
          </cell>
          <cell r="E168" t="str">
            <v>Individual Contributor</v>
          </cell>
          <cell r="F168">
            <v>0</v>
          </cell>
          <cell r="G168" t="str">
            <v>Javier Martin</v>
          </cell>
          <cell r="H168" t="str">
            <v>Regular</v>
          </cell>
          <cell r="I168">
            <v>1</v>
          </cell>
          <cell r="J168">
            <v>0.05</v>
          </cell>
          <cell r="K168">
            <v>0.05</v>
          </cell>
          <cell r="L168">
            <v>0.8</v>
          </cell>
          <cell r="M168">
            <v>0.1</v>
          </cell>
          <cell r="N168">
            <v>0</v>
          </cell>
          <cell r="O168">
            <v>0.2</v>
          </cell>
          <cell r="P168">
            <v>0</v>
          </cell>
          <cell r="Q168">
            <v>0</v>
          </cell>
        </row>
        <row r="169">
          <cell r="A169" t="str">
            <v>Cristian Lazaro</v>
          </cell>
          <cell r="B169" t="str">
            <v>terminated</v>
          </cell>
          <cell r="C169" t="str">
            <v>terminated</v>
          </cell>
          <cell r="D169" t="str">
            <v>AX AMS</v>
          </cell>
          <cell r="E169" t="str">
            <v>Individual Contributor</v>
          </cell>
          <cell r="F169">
            <v>0</v>
          </cell>
          <cell r="G169" t="str">
            <v>Javier Martin</v>
          </cell>
          <cell r="H169" t="str">
            <v>Regular</v>
          </cell>
          <cell r="I169">
            <v>1</v>
          </cell>
          <cell r="J169">
            <v>0.5</v>
          </cell>
          <cell r="K169">
            <v>0.3</v>
          </cell>
          <cell r="L169">
            <v>0.2</v>
          </cell>
          <cell r="M169">
            <v>0</v>
          </cell>
          <cell r="N169">
            <v>0</v>
          </cell>
          <cell r="O169">
            <v>0.75</v>
          </cell>
          <cell r="P169">
            <v>0</v>
          </cell>
          <cell r="Q169">
            <v>0</v>
          </cell>
        </row>
        <row r="170">
          <cell r="A170" t="str">
            <v>David Barresi</v>
          </cell>
          <cell r="B170" t="str">
            <v>terminated</v>
          </cell>
          <cell r="C170" t="str">
            <v>terminated</v>
          </cell>
          <cell r="D170" t="str">
            <v>Crea AMS</v>
          </cell>
          <cell r="E170" t="str">
            <v>Manager</v>
          </cell>
          <cell r="F170">
            <v>0</v>
          </cell>
          <cell r="G170" t="str">
            <v>Javier Martin</v>
          </cell>
          <cell r="H170" t="str">
            <v>Regular</v>
          </cell>
          <cell r="I170">
            <v>1</v>
          </cell>
          <cell r="J170">
            <v>0.2</v>
          </cell>
          <cell r="K170">
            <v>0.2</v>
          </cell>
          <cell r="L170">
            <v>0.2</v>
          </cell>
          <cell r="M170">
            <v>0.2</v>
          </cell>
          <cell r="N170">
            <v>0.2</v>
          </cell>
          <cell r="O170">
            <v>0</v>
          </cell>
          <cell r="P170">
            <v>0</v>
          </cell>
          <cell r="Q17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1AEF4-000E-4A7C-8BB1-912EAFB67F8F}">
  <sheetPr>
    <tabColor theme="6" tint="0.59999389629810485"/>
  </sheetPr>
  <dimension ref="A1:AB21"/>
  <sheetViews>
    <sheetView zoomScale="115" zoomScaleNormal="115" workbookViewId="0">
      <pane xSplit="2" topLeftCell="D1" activePane="topRight" state="frozen"/>
      <selection activeCell="X162" sqref="X162"/>
      <selection pane="topRight" activeCell="X162" sqref="X162"/>
    </sheetView>
  </sheetViews>
  <sheetFormatPr baseColWidth="10" defaultColWidth="8.7265625" defaultRowHeight="14.5" x14ac:dyDescent="0.35"/>
  <cols>
    <col min="1" max="1" width="16" customWidth="1"/>
    <col min="2" max="2" width="31.81640625" bestFit="1" customWidth="1"/>
    <col min="3" max="3" width="59.1796875" customWidth="1"/>
    <col min="4" max="4" width="24.54296875" customWidth="1"/>
    <col min="5" max="5" width="19.54296875" customWidth="1"/>
    <col min="6" max="6" width="12.453125" customWidth="1"/>
    <col min="7" max="7" width="14.81640625" customWidth="1"/>
    <col min="8" max="8" width="15.81640625" customWidth="1"/>
    <col min="9" max="9" width="9.81640625" customWidth="1"/>
    <col min="10" max="10" width="14.1796875" customWidth="1"/>
    <col min="11" max="11" width="8.7265625" customWidth="1"/>
    <col min="26" max="27" width="14.81640625" style="10" customWidth="1"/>
    <col min="28" max="28" width="34.81640625" customWidth="1"/>
  </cols>
  <sheetData>
    <row r="1" spans="1:28" ht="39" x14ac:dyDescent="0.35">
      <c r="A1" s="1" t="s">
        <v>0</v>
      </c>
      <c r="B1" s="12" t="s">
        <v>1</v>
      </c>
      <c r="C1" s="1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12" t="s">
        <v>10</v>
      </c>
      <c r="L1" s="12" t="s">
        <v>11</v>
      </c>
      <c r="M1" s="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5" t="s">
        <v>18</v>
      </c>
      <c r="T1" s="14" t="s">
        <v>197</v>
      </c>
      <c r="U1" s="5" t="s">
        <v>19</v>
      </c>
      <c r="V1" s="5" t="s">
        <v>20</v>
      </c>
      <c r="W1" s="5" t="s">
        <v>21</v>
      </c>
      <c r="X1" s="5" t="s">
        <v>22</v>
      </c>
      <c r="Y1" s="6" t="s">
        <v>23</v>
      </c>
      <c r="Z1" s="15" t="s">
        <v>24</v>
      </c>
      <c r="AA1" s="15" t="s">
        <v>25</v>
      </c>
      <c r="AB1" s="11" t="s">
        <v>26</v>
      </c>
    </row>
    <row r="2" spans="1:28" x14ac:dyDescent="0.35">
      <c r="A2">
        <v>9568</v>
      </c>
      <c r="B2" t="s">
        <v>43</v>
      </c>
      <c r="C2" t="s">
        <v>44</v>
      </c>
      <c r="D2" t="s">
        <v>45</v>
      </c>
      <c r="E2" t="s">
        <v>39</v>
      </c>
      <c r="F2">
        <v>100</v>
      </c>
      <c r="G2" t="s">
        <v>31</v>
      </c>
      <c r="H2" t="s">
        <v>32</v>
      </c>
      <c r="I2" t="s">
        <v>33</v>
      </c>
      <c r="J2" s="7">
        <v>1</v>
      </c>
      <c r="K2" s="7">
        <v>1</v>
      </c>
      <c r="L2" s="7">
        <v>0</v>
      </c>
      <c r="M2" s="8">
        <v>1</v>
      </c>
      <c r="N2" s="18">
        <v>0.3</v>
      </c>
      <c r="O2" s="18">
        <v>0.3</v>
      </c>
      <c r="P2" s="8">
        <v>0.25</v>
      </c>
      <c r="Q2" s="18">
        <v>0.15</v>
      </c>
      <c r="R2" s="8">
        <v>0</v>
      </c>
      <c r="S2" s="8">
        <v>0.8</v>
      </c>
      <c r="T2" s="8">
        <v>0.8</v>
      </c>
      <c r="U2" s="8">
        <v>0</v>
      </c>
      <c r="V2" s="8">
        <v>1</v>
      </c>
      <c r="W2" s="8">
        <v>0</v>
      </c>
      <c r="X2" s="8">
        <v>0</v>
      </c>
      <c r="Y2" t="str">
        <f t="shared" ref="Y2:Y14" si="0">IF(L2=1,"OK",IF(AND(SUM($N2:$R2)=1,SUM($U2:$X2)),"OK","Not 100%"))</f>
        <v>OK</v>
      </c>
      <c r="Z2" s="10" t="s">
        <v>34</v>
      </c>
      <c r="AA2" s="10" t="s">
        <v>40</v>
      </c>
      <c r="AB2" t="s">
        <v>177</v>
      </c>
    </row>
    <row r="3" spans="1:28" x14ac:dyDescent="0.35">
      <c r="A3">
        <v>10015</v>
      </c>
      <c r="B3" t="s">
        <v>46</v>
      </c>
      <c r="C3" t="s">
        <v>47</v>
      </c>
      <c r="D3" t="s">
        <v>45</v>
      </c>
      <c r="E3" t="s">
        <v>30</v>
      </c>
      <c r="F3">
        <v>100</v>
      </c>
      <c r="G3" t="s">
        <v>31</v>
      </c>
      <c r="H3" t="s">
        <v>32</v>
      </c>
      <c r="I3" t="s">
        <v>33</v>
      </c>
      <c r="J3" s="7">
        <v>1</v>
      </c>
      <c r="K3" s="7">
        <v>1</v>
      </c>
      <c r="L3" s="7">
        <v>0</v>
      </c>
      <c r="M3" s="8">
        <v>1</v>
      </c>
      <c r="N3" s="8">
        <v>0.4</v>
      </c>
      <c r="O3" s="8">
        <v>0.4</v>
      </c>
      <c r="P3" s="8">
        <v>0.1</v>
      </c>
      <c r="Q3" s="8">
        <v>0.05</v>
      </c>
      <c r="R3" s="8">
        <v>0.05</v>
      </c>
      <c r="S3" s="8">
        <v>0.2</v>
      </c>
      <c r="T3" s="8">
        <v>0.05</v>
      </c>
      <c r="U3" s="8">
        <v>0</v>
      </c>
      <c r="V3" s="8">
        <v>1</v>
      </c>
      <c r="W3" s="8">
        <v>0</v>
      </c>
      <c r="X3" s="8">
        <v>0</v>
      </c>
      <c r="Y3" t="str">
        <f t="shared" si="0"/>
        <v>OK</v>
      </c>
      <c r="Z3" s="10" t="s">
        <v>34</v>
      </c>
      <c r="AA3" s="10" t="s">
        <v>40</v>
      </c>
    </row>
    <row r="4" spans="1:28" x14ac:dyDescent="0.35">
      <c r="A4">
        <v>6873</v>
      </c>
      <c r="B4" t="s">
        <v>48</v>
      </c>
      <c r="C4" t="s">
        <v>49</v>
      </c>
      <c r="D4" t="s">
        <v>45</v>
      </c>
      <c r="E4" t="s">
        <v>39</v>
      </c>
      <c r="F4">
        <v>100</v>
      </c>
      <c r="G4" t="s">
        <v>31</v>
      </c>
      <c r="H4" t="s">
        <v>32</v>
      </c>
      <c r="I4" t="s">
        <v>33</v>
      </c>
      <c r="J4" s="7">
        <v>1</v>
      </c>
      <c r="K4" s="7">
        <v>1</v>
      </c>
      <c r="L4" s="7">
        <v>0</v>
      </c>
      <c r="M4" s="8">
        <v>1</v>
      </c>
      <c r="N4" s="8">
        <v>0.35</v>
      </c>
      <c r="O4" s="8">
        <v>0.3</v>
      </c>
      <c r="P4" s="8">
        <v>0.2</v>
      </c>
      <c r="Q4" s="8">
        <v>0.1</v>
      </c>
      <c r="R4" s="8">
        <v>0.05</v>
      </c>
      <c r="S4" s="8">
        <v>0.8</v>
      </c>
      <c r="T4" s="8">
        <v>0.5</v>
      </c>
      <c r="U4" s="8">
        <v>0</v>
      </c>
      <c r="V4" s="8">
        <v>1</v>
      </c>
      <c r="W4" s="8">
        <v>0</v>
      </c>
      <c r="X4" s="8">
        <v>0</v>
      </c>
      <c r="Y4" t="str">
        <f t="shared" si="0"/>
        <v>OK</v>
      </c>
      <c r="Z4" s="10" t="s">
        <v>34</v>
      </c>
      <c r="AA4" s="10" t="s">
        <v>40</v>
      </c>
    </row>
    <row r="5" spans="1:28" x14ac:dyDescent="0.35">
      <c r="A5">
        <v>5165</v>
      </c>
      <c r="B5" t="s">
        <v>50</v>
      </c>
      <c r="C5" t="s">
        <v>51</v>
      </c>
      <c r="D5" t="s">
        <v>45</v>
      </c>
      <c r="E5" t="s">
        <v>39</v>
      </c>
      <c r="F5">
        <v>100</v>
      </c>
      <c r="G5" t="s">
        <v>31</v>
      </c>
      <c r="H5" t="s">
        <v>32</v>
      </c>
      <c r="I5" t="s">
        <v>33</v>
      </c>
      <c r="J5" s="7">
        <v>1</v>
      </c>
      <c r="K5" s="7">
        <v>1</v>
      </c>
      <c r="L5" s="7">
        <v>0</v>
      </c>
      <c r="M5" s="8">
        <v>1</v>
      </c>
      <c r="N5" s="8">
        <v>0.55000000000000004</v>
      </c>
      <c r="O5" s="8">
        <v>0.25</v>
      </c>
      <c r="P5" s="8">
        <v>0.15</v>
      </c>
      <c r="Q5" s="8">
        <v>0.05</v>
      </c>
      <c r="R5" s="8">
        <v>0</v>
      </c>
      <c r="S5" s="8">
        <v>0.95</v>
      </c>
      <c r="T5" s="8">
        <v>0.05</v>
      </c>
      <c r="U5" s="8">
        <v>0</v>
      </c>
      <c r="V5" s="8">
        <v>1</v>
      </c>
      <c r="W5" s="8">
        <v>0</v>
      </c>
      <c r="X5" s="8">
        <v>0</v>
      </c>
      <c r="Y5" t="str">
        <f t="shared" si="0"/>
        <v>OK</v>
      </c>
      <c r="Z5" s="10" t="s">
        <v>34</v>
      </c>
      <c r="AA5" s="10" t="s">
        <v>40</v>
      </c>
    </row>
    <row r="6" spans="1:28" x14ac:dyDescent="0.35">
      <c r="A6">
        <v>8091</v>
      </c>
      <c r="B6" t="s">
        <v>52</v>
      </c>
      <c r="C6" t="s">
        <v>53</v>
      </c>
      <c r="D6" t="s">
        <v>45</v>
      </c>
      <c r="E6" t="s">
        <v>30</v>
      </c>
      <c r="F6">
        <v>100</v>
      </c>
      <c r="G6" t="s">
        <v>31</v>
      </c>
      <c r="H6" t="s">
        <v>32</v>
      </c>
      <c r="I6" t="s">
        <v>33</v>
      </c>
      <c r="J6" s="7">
        <v>1</v>
      </c>
      <c r="K6" s="7">
        <v>1</v>
      </c>
      <c r="L6" s="7">
        <v>0</v>
      </c>
      <c r="M6" s="8">
        <v>1</v>
      </c>
      <c r="N6" s="8">
        <v>0.95</v>
      </c>
      <c r="O6" s="8">
        <v>0.05</v>
      </c>
      <c r="P6" s="8">
        <v>0</v>
      </c>
      <c r="Q6" s="8">
        <v>0</v>
      </c>
      <c r="R6" s="8">
        <v>0</v>
      </c>
      <c r="S6" s="8">
        <v>0.95</v>
      </c>
      <c r="T6" s="8">
        <v>0.05</v>
      </c>
      <c r="U6" s="8">
        <v>0</v>
      </c>
      <c r="V6" s="8">
        <v>1</v>
      </c>
      <c r="W6" s="8">
        <v>0</v>
      </c>
      <c r="X6" s="8">
        <v>0</v>
      </c>
      <c r="Y6" t="str">
        <f t="shared" si="0"/>
        <v>OK</v>
      </c>
      <c r="Z6" s="10" t="s">
        <v>34</v>
      </c>
      <c r="AA6" s="10" t="s">
        <v>40</v>
      </c>
    </row>
    <row r="7" spans="1:28" x14ac:dyDescent="0.35">
      <c r="A7">
        <v>13864</v>
      </c>
      <c r="B7" t="s">
        <v>54</v>
      </c>
      <c r="C7" t="s">
        <v>55</v>
      </c>
      <c r="D7" t="s">
        <v>45</v>
      </c>
      <c r="E7" t="s">
        <v>30</v>
      </c>
      <c r="F7">
        <v>100</v>
      </c>
      <c r="G7" t="s">
        <v>31</v>
      </c>
      <c r="H7" t="s">
        <v>32</v>
      </c>
      <c r="I7" t="s">
        <v>33</v>
      </c>
      <c r="J7" s="7">
        <v>1</v>
      </c>
      <c r="K7" s="7">
        <v>1</v>
      </c>
      <c r="L7" s="7">
        <v>0</v>
      </c>
      <c r="M7" s="8">
        <v>1</v>
      </c>
      <c r="N7" s="8">
        <v>0.5</v>
      </c>
      <c r="O7" s="8">
        <v>0.45</v>
      </c>
      <c r="P7" s="8">
        <v>0.05</v>
      </c>
      <c r="Q7" s="8">
        <v>0</v>
      </c>
      <c r="R7" s="8">
        <v>0</v>
      </c>
      <c r="S7" s="8">
        <v>0.95</v>
      </c>
      <c r="T7" s="8">
        <v>0.05</v>
      </c>
      <c r="U7" s="8">
        <v>0</v>
      </c>
      <c r="V7" s="8">
        <v>1</v>
      </c>
      <c r="W7" s="8">
        <v>0</v>
      </c>
      <c r="X7" s="8">
        <v>0</v>
      </c>
      <c r="Y7" t="str">
        <f t="shared" si="0"/>
        <v>OK</v>
      </c>
      <c r="Z7" s="10" t="s">
        <v>34</v>
      </c>
      <c r="AA7" s="10" t="s">
        <v>40</v>
      </c>
    </row>
    <row r="8" spans="1:28" x14ac:dyDescent="0.35">
      <c r="A8" s="27" t="s">
        <v>56</v>
      </c>
      <c r="B8" t="s">
        <v>57</v>
      </c>
      <c r="C8" t="s">
        <v>55</v>
      </c>
      <c r="D8" t="s">
        <v>45</v>
      </c>
      <c r="E8" t="s">
        <v>30</v>
      </c>
      <c r="F8">
        <v>100</v>
      </c>
      <c r="G8" t="s">
        <v>31</v>
      </c>
      <c r="H8" t="s">
        <v>32</v>
      </c>
      <c r="I8" t="s">
        <v>33</v>
      </c>
      <c r="J8" s="25">
        <v>1</v>
      </c>
      <c r="K8" s="25">
        <v>1</v>
      </c>
      <c r="L8" s="25">
        <v>0</v>
      </c>
      <c r="M8" s="26">
        <v>1</v>
      </c>
      <c r="N8" s="26">
        <v>0.6</v>
      </c>
      <c r="O8" s="26">
        <v>0.2</v>
      </c>
      <c r="P8" s="26">
        <v>0.2</v>
      </c>
      <c r="Q8" s="26">
        <v>0</v>
      </c>
      <c r="R8" s="26">
        <v>0</v>
      </c>
      <c r="S8" s="26">
        <v>0.95</v>
      </c>
      <c r="T8" s="18">
        <v>0</v>
      </c>
      <c r="U8" s="26">
        <v>0</v>
      </c>
      <c r="V8" s="26">
        <v>1</v>
      </c>
      <c r="W8" s="26">
        <v>0</v>
      </c>
      <c r="X8" s="26">
        <v>0</v>
      </c>
      <c r="Y8" t="str">
        <f t="shared" si="0"/>
        <v>OK</v>
      </c>
      <c r="Z8" s="10" t="s">
        <v>34</v>
      </c>
      <c r="AA8" s="10" t="s">
        <v>40</v>
      </c>
      <c r="AB8" t="s">
        <v>199</v>
      </c>
    </row>
    <row r="9" spans="1:28" x14ac:dyDescent="0.35">
      <c r="A9">
        <v>8144</v>
      </c>
      <c r="B9" t="s">
        <v>58</v>
      </c>
      <c r="C9" t="s">
        <v>55</v>
      </c>
      <c r="D9" t="s">
        <v>45</v>
      </c>
      <c r="E9" t="s">
        <v>30</v>
      </c>
      <c r="F9">
        <v>100</v>
      </c>
      <c r="G9" t="s">
        <v>31</v>
      </c>
      <c r="H9" t="s">
        <v>32</v>
      </c>
      <c r="I9" t="s">
        <v>33</v>
      </c>
      <c r="J9" s="7">
        <v>1</v>
      </c>
      <c r="K9" s="7">
        <v>1</v>
      </c>
      <c r="L9" s="7">
        <v>0</v>
      </c>
      <c r="M9" s="8">
        <v>1</v>
      </c>
      <c r="N9" s="8">
        <v>0.65</v>
      </c>
      <c r="O9" s="8">
        <v>0.3</v>
      </c>
      <c r="P9" s="8">
        <v>0.05</v>
      </c>
      <c r="Q9" s="8">
        <v>0</v>
      </c>
      <c r="R9" s="8">
        <v>0</v>
      </c>
      <c r="S9" s="8">
        <v>0.95</v>
      </c>
      <c r="T9" s="8">
        <v>0.05</v>
      </c>
      <c r="U9" s="8">
        <v>0</v>
      </c>
      <c r="V9" s="8">
        <v>1</v>
      </c>
      <c r="W9" s="8">
        <v>0</v>
      </c>
      <c r="X9" s="8">
        <v>0</v>
      </c>
      <c r="Y9" t="str">
        <f t="shared" si="0"/>
        <v>OK</v>
      </c>
      <c r="Z9" s="10" t="s">
        <v>34</v>
      </c>
      <c r="AA9" s="10" t="s">
        <v>40</v>
      </c>
    </row>
    <row r="10" spans="1:28" x14ac:dyDescent="0.35">
      <c r="A10">
        <v>8340</v>
      </c>
      <c r="B10" t="s">
        <v>59</v>
      </c>
      <c r="C10" t="s">
        <v>55</v>
      </c>
      <c r="D10" t="s">
        <v>45</v>
      </c>
      <c r="E10" t="s">
        <v>30</v>
      </c>
      <c r="F10">
        <v>100</v>
      </c>
      <c r="G10" t="s">
        <v>31</v>
      </c>
      <c r="H10" t="s">
        <v>32</v>
      </c>
      <c r="I10" t="s">
        <v>33</v>
      </c>
      <c r="J10" s="7">
        <v>1</v>
      </c>
      <c r="K10" s="7">
        <v>1</v>
      </c>
      <c r="L10" s="7">
        <v>0</v>
      </c>
      <c r="M10" s="8">
        <v>1</v>
      </c>
      <c r="N10" s="8">
        <v>0.7</v>
      </c>
      <c r="O10" s="8">
        <v>0.25</v>
      </c>
      <c r="P10" s="8">
        <v>0.05</v>
      </c>
      <c r="Q10" s="8">
        <v>0</v>
      </c>
      <c r="R10" s="8">
        <v>0</v>
      </c>
      <c r="S10" s="8">
        <v>0.95</v>
      </c>
      <c r="T10" s="8">
        <v>0.05</v>
      </c>
      <c r="U10" s="8">
        <v>0</v>
      </c>
      <c r="V10" s="8">
        <v>1</v>
      </c>
      <c r="W10" s="8">
        <v>0</v>
      </c>
      <c r="X10" s="8">
        <v>0</v>
      </c>
      <c r="Y10" t="str">
        <f t="shared" si="0"/>
        <v>OK</v>
      </c>
      <c r="Z10" s="10" t="s">
        <v>34</v>
      </c>
      <c r="AA10" s="10" t="s">
        <v>40</v>
      </c>
    </row>
    <row r="11" spans="1:28" x14ac:dyDescent="0.35">
      <c r="A11">
        <v>10017</v>
      </c>
      <c r="B11" t="s">
        <v>60</v>
      </c>
      <c r="C11" s="13" t="s">
        <v>55</v>
      </c>
      <c r="D11" t="s">
        <v>45</v>
      </c>
      <c r="E11" t="s">
        <v>30</v>
      </c>
      <c r="F11">
        <v>100</v>
      </c>
      <c r="G11" t="s">
        <v>31</v>
      </c>
      <c r="H11" t="s">
        <v>32</v>
      </c>
      <c r="I11" t="s">
        <v>33</v>
      </c>
      <c r="J11" s="7">
        <v>1</v>
      </c>
      <c r="K11" s="7">
        <v>1</v>
      </c>
      <c r="L11" s="7">
        <v>0</v>
      </c>
      <c r="M11" s="8">
        <v>1</v>
      </c>
      <c r="N11" s="8">
        <v>0.65</v>
      </c>
      <c r="O11" s="8">
        <v>0.25</v>
      </c>
      <c r="P11" s="8">
        <v>0.1</v>
      </c>
      <c r="Q11" s="8">
        <v>0</v>
      </c>
      <c r="R11" s="8">
        <v>0</v>
      </c>
      <c r="S11" s="8">
        <v>0.95</v>
      </c>
      <c r="T11" s="8">
        <v>0.05</v>
      </c>
      <c r="U11" s="8">
        <v>0</v>
      </c>
      <c r="V11" s="8">
        <v>1</v>
      </c>
      <c r="W11" s="8">
        <v>0</v>
      </c>
      <c r="X11" s="8">
        <v>0</v>
      </c>
      <c r="Y11" t="str">
        <f t="shared" si="0"/>
        <v>OK</v>
      </c>
      <c r="Z11" s="10" t="s">
        <v>34</v>
      </c>
      <c r="AA11" s="10" t="s">
        <v>40</v>
      </c>
      <c r="AB11" t="s">
        <v>178</v>
      </c>
    </row>
    <row r="12" spans="1:28" x14ac:dyDescent="0.35">
      <c r="A12">
        <v>10086</v>
      </c>
      <c r="B12" t="s">
        <v>61</v>
      </c>
      <c r="C12" s="13" t="s">
        <v>63</v>
      </c>
      <c r="D12" t="s">
        <v>45</v>
      </c>
      <c r="E12" t="s">
        <v>30</v>
      </c>
      <c r="F12">
        <v>100</v>
      </c>
      <c r="G12" t="s">
        <v>31</v>
      </c>
      <c r="H12" t="s">
        <v>32</v>
      </c>
      <c r="I12" t="s">
        <v>33</v>
      </c>
      <c r="J12" s="7">
        <v>1</v>
      </c>
      <c r="K12" s="7">
        <v>1</v>
      </c>
      <c r="L12" s="7">
        <v>0</v>
      </c>
      <c r="M12" s="8">
        <v>1</v>
      </c>
      <c r="N12" s="8">
        <v>0.05</v>
      </c>
      <c r="O12" s="8">
        <v>0.05</v>
      </c>
      <c r="P12" s="8">
        <v>0.8</v>
      </c>
      <c r="Q12" s="8">
        <v>0.1</v>
      </c>
      <c r="R12" s="8">
        <v>0</v>
      </c>
      <c r="S12" s="8">
        <v>0.8</v>
      </c>
      <c r="T12" s="8">
        <v>0.8</v>
      </c>
      <c r="U12" s="8">
        <v>0</v>
      </c>
      <c r="V12" s="8">
        <v>1</v>
      </c>
      <c r="W12" s="8">
        <v>0</v>
      </c>
      <c r="X12" s="8">
        <v>0</v>
      </c>
      <c r="Y12" t="str">
        <f t="shared" si="0"/>
        <v>OK</v>
      </c>
      <c r="Z12" s="10" t="s">
        <v>34</v>
      </c>
      <c r="AA12" s="10" t="s">
        <v>40</v>
      </c>
      <c r="AB12" t="s">
        <v>178</v>
      </c>
    </row>
    <row r="13" spans="1:28" x14ac:dyDescent="0.35">
      <c r="A13">
        <v>10967</v>
      </c>
      <c r="B13" t="s">
        <v>62</v>
      </c>
      <c r="C13" t="s">
        <v>63</v>
      </c>
      <c r="D13" t="s">
        <v>45</v>
      </c>
      <c r="E13" t="s">
        <v>30</v>
      </c>
      <c r="F13">
        <v>100</v>
      </c>
      <c r="G13" t="s">
        <v>31</v>
      </c>
      <c r="H13" t="s">
        <v>32</v>
      </c>
      <c r="I13" t="s">
        <v>33</v>
      </c>
      <c r="J13" s="7">
        <v>1</v>
      </c>
      <c r="K13" s="7">
        <v>1</v>
      </c>
      <c r="L13" s="7">
        <v>0</v>
      </c>
      <c r="M13" s="8">
        <v>1</v>
      </c>
      <c r="N13" s="8">
        <v>0.05</v>
      </c>
      <c r="O13" s="8">
        <v>0.05</v>
      </c>
      <c r="P13" s="8">
        <v>0.1</v>
      </c>
      <c r="Q13" s="8">
        <v>0.8</v>
      </c>
      <c r="R13" s="8">
        <v>0</v>
      </c>
      <c r="S13" s="8">
        <v>0.8</v>
      </c>
      <c r="T13" s="8">
        <v>0.8</v>
      </c>
      <c r="U13" s="8">
        <v>0</v>
      </c>
      <c r="V13" s="8">
        <v>1</v>
      </c>
      <c r="W13" s="8">
        <v>0</v>
      </c>
      <c r="X13" s="8">
        <v>0</v>
      </c>
      <c r="Y13" t="str">
        <f t="shared" si="0"/>
        <v>OK</v>
      </c>
      <c r="Z13" s="10" t="s">
        <v>34</v>
      </c>
      <c r="AA13" s="10" t="s">
        <v>40</v>
      </c>
    </row>
    <row r="14" spans="1:28" x14ac:dyDescent="0.35">
      <c r="A14">
        <v>9227</v>
      </c>
      <c r="B14" t="s">
        <v>64</v>
      </c>
      <c r="C14" s="13" t="s">
        <v>179</v>
      </c>
      <c r="D14" t="s">
        <v>45</v>
      </c>
      <c r="E14" t="s">
        <v>30</v>
      </c>
      <c r="F14">
        <v>100</v>
      </c>
      <c r="G14" t="s">
        <v>31</v>
      </c>
      <c r="H14" t="s">
        <v>32</v>
      </c>
      <c r="I14" t="s">
        <v>33</v>
      </c>
      <c r="J14" s="7">
        <v>1</v>
      </c>
      <c r="K14" s="7">
        <v>1</v>
      </c>
      <c r="L14" s="7">
        <v>0</v>
      </c>
      <c r="M14" s="8">
        <v>1</v>
      </c>
      <c r="N14" s="18">
        <v>0.15</v>
      </c>
      <c r="O14" s="18">
        <v>0.15</v>
      </c>
      <c r="P14" s="18">
        <v>0.6</v>
      </c>
      <c r="Q14" s="8">
        <v>0.1</v>
      </c>
      <c r="R14" s="8">
        <v>0</v>
      </c>
      <c r="S14" s="8">
        <v>0.8</v>
      </c>
      <c r="T14" s="8">
        <v>0.8</v>
      </c>
      <c r="U14" s="8">
        <v>0</v>
      </c>
      <c r="V14" s="8">
        <v>1</v>
      </c>
      <c r="W14" s="8">
        <v>0</v>
      </c>
      <c r="X14" s="8">
        <v>0</v>
      </c>
      <c r="Y14" t="str">
        <f t="shared" si="0"/>
        <v>OK</v>
      </c>
      <c r="Z14" s="10" t="s">
        <v>34</v>
      </c>
      <c r="AA14" s="10" t="s">
        <v>40</v>
      </c>
      <c r="AB14" t="s">
        <v>180</v>
      </c>
    </row>
    <row r="15" spans="1:28" x14ac:dyDescent="0.35">
      <c r="A15">
        <v>11068</v>
      </c>
      <c r="B15" t="s">
        <v>81</v>
      </c>
      <c r="C15" t="s">
        <v>82</v>
      </c>
      <c r="D15" t="s">
        <v>45</v>
      </c>
      <c r="E15" t="s">
        <v>39</v>
      </c>
      <c r="F15">
        <v>100</v>
      </c>
      <c r="G15" t="s">
        <v>31</v>
      </c>
      <c r="H15" t="s">
        <v>32</v>
      </c>
      <c r="I15" t="s">
        <v>33</v>
      </c>
      <c r="J15" s="7">
        <v>1</v>
      </c>
      <c r="K15" s="7">
        <v>1</v>
      </c>
      <c r="L15" s="7">
        <v>0</v>
      </c>
      <c r="M15" s="8">
        <v>1</v>
      </c>
      <c r="N15" s="8">
        <v>0.3</v>
      </c>
      <c r="O15" s="8">
        <v>0.3</v>
      </c>
      <c r="P15" s="8">
        <v>0.3</v>
      </c>
      <c r="Q15" s="8">
        <v>0.05</v>
      </c>
      <c r="R15" s="8">
        <v>0.05</v>
      </c>
      <c r="S15" s="8">
        <v>0.8</v>
      </c>
      <c r="T15" s="8">
        <v>0.5</v>
      </c>
      <c r="U15" s="8">
        <v>0</v>
      </c>
      <c r="V15" s="8">
        <v>1</v>
      </c>
      <c r="W15" s="8">
        <v>0</v>
      </c>
      <c r="X15" s="8">
        <v>0</v>
      </c>
      <c r="Y15" t="str">
        <f t="shared" ref="Y15:Y20" si="1">IF(L15=1,"OK",IF(AND(SUM($N15:$R15)=1,SUM($U15:$X15)),"OK","Not 100%"))</f>
        <v>OK</v>
      </c>
      <c r="Z15" s="10" t="s">
        <v>34</v>
      </c>
      <c r="AA15" s="10" t="s">
        <v>181</v>
      </c>
    </row>
    <row r="16" spans="1:28" x14ac:dyDescent="0.35">
      <c r="A16">
        <v>13586</v>
      </c>
      <c r="B16" t="s">
        <v>83</v>
      </c>
      <c r="C16" t="s">
        <v>84</v>
      </c>
      <c r="D16" t="s">
        <v>45</v>
      </c>
      <c r="E16" t="s">
        <v>30</v>
      </c>
      <c r="F16">
        <v>100</v>
      </c>
      <c r="G16" t="s">
        <v>31</v>
      </c>
      <c r="H16" t="s">
        <v>32</v>
      </c>
      <c r="I16" t="s">
        <v>85</v>
      </c>
      <c r="J16" s="7">
        <v>1</v>
      </c>
      <c r="K16" s="7">
        <v>1</v>
      </c>
      <c r="L16" s="7">
        <v>0</v>
      </c>
      <c r="M16" s="8">
        <v>1</v>
      </c>
      <c r="N16" s="18">
        <v>0.05</v>
      </c>
      <c r="O16" s="18">
        <v>0.05</v>
      </c>
      <c r="P16" s="8">
        <v>0.1</v>
      </c>
      <c r="Q16" s="18">
        <v>0.7</v>
      </c>
      <c r="R16" s="8">
        <v>0.1</v>
      </c>
      <c r="S16" s="8">
        <v>0.9</v>
      </c>
      <c r="T16" s="8">
        <v>0.9</v>
      </c>
      <c r="U16" s="8">
        <v>0</v>
      </c>
      <c r="V16" s="8">
        <v>1</v>
      </c>
      <c r="W16" s="8">
        <v>0</v>
      </c>
      <c r="X16" s="8">
        <v>0</v>
      </c>
      <c r="Y16" t="str">
        <f t="shared" si="1"/>
        <v>OK</v>
      </c>
      <c r="Z16" s="10" t="s">
        <v>34</v>
      </c>
      <c r="AA16" s="10" t="s">
        <v>181</v>
      </c>
      <c r="AB16" t="s">
        <v>182</v>
      </c>
    </row>
    <row r="17" spans="1:28" x14ac:dyDescent="0.35">
      <c r="A17">
        <v>12140</v>
      </c>
      <c r="B17" t="s">
        <v>86</v>
      </c>
      <c r="C17" s="13" t="s">
        <v>88</v>
      </c>
      <c r="D17" t="s">
        <v>45</v>
      </c>
      <c r="E17" t="s">
        <v>30</v>
      </c>
      <c r="F17">
        <v>100</v>
      </c>
      <c r="G17" t="s">
        <v>31</v>
      </c>
      <c r="H17" t="s">
        <v>32</v>
      </c>
      <c r="I17" t="s">
        <v>33</v>
      </c>
      <c r="J17" s="7">
        <v>1</v>
      </c>
      <c r="K17" s="7">
        <v>1</v>
      </c>
      <c r="L17" s="7">
        <v>0</v>
      </c>
      <c r="M17" s="8">
        <v>1</v>
      </c>
      <c r="N17" s="18">
        <v>0.1</v>
      </c>
      <c r="O17" s="18">
        <v>0.15</v>
      </c>
      <c r="P17" s="8">
        <v>0.4</v>
      </c>
      <c r="Q17" s="8">
        <v>0.3</v>
      </c>
      <c r="R17" s="8">
        <v>0.05</v>
      </c>
      <c r="S17" s="8">
        <v>0.8</v>
      </c>
      <c r="T17" s="8">
        <v>0.8</v>
      </c>
      <c r="U17" s="8">
        <v>0</v>
      </c>
      <c r="V17" s="8">
        <v>1</v>
      </c>
      <c r="W17" s="8">
        <v>0</v>
      </c>
      <c r="X17" s="8">
        <v>0</v>
      </c>
      <c r="Y17" t="str">
        <f t="shared" si="1"/>
        <v>OK</v>
      </c>
      <c r="Z17" s="10" t="s">
        <v>34</v>
      </c>
      <c r="AA17" s="10" t="s">
        <v>181</v>
      </c>
      <c r="AB17" t="s">
        <v>180</v>
      </c>
    </row>
    <row r="18" spans="1:28" x14ac:dyDescent="0.35">
      <c r="A18">
        <v>10476</v>
      </c>
      <c r="B18" t="s">
        <v>87</v>
      </c>
      <c r="C18" s="13" t="s">
        <v>183</v>
      </c>
      <c r="D18" t="s">
        <v>45</v>
      </c>
      <c r="E18" t="s">
        <v>30</v>
      </c>
      <c r="F18">
        <v>100</v>
      </c>
      <c r="G18" t="s">
        <v>31</v>
      </c>
      <c r="H18" t="s">
        <v>32</v>
      </c>
      <c r="I18" t="s">
        <v>33</v>
      </c>
      <c r="J18" s="7">
        <v>1</v>
      </c>
      <c r="K18" s="7">
        <v>1</v>
      </c>
      <c r="L18" s="7">
        <v>0</v>
      </c>
      <c r="M18" s="8">
        <v>1</v>
      </c>
      <c r="N18" s="18">
        <v>0.15</v>
      </c>
      <c r="O18" s="18">
        <v>0.15</v>
      </c>
      <c r="P18" s="18">
        <v>0.2</v>
      </c>
      <c r="Q18" s="8">
        <v>0.45</v>
      </c>
      <c r="R18" s="8">
        <v>0.05</v>
      </c>
      <c r="S18" s="8">
        <v>0.95</v>
      </c>
      <c r="T18" s="8">
        <v>0.05</v>
      </c>
      <c r="U18" s="8">
        <v>0</v>
      </c>
      <c r="V18" s="8">
        <v>1</v>
      </c>
      <c r="W18" s="8">
        <v>0</v>
      </c>
      <c r="X18" s="8">
        <v>0</v>
      </c>
      <c r="Y18" t="str">
        <f t="shared" si="1"/>
        <v>OK</v>
      </c>
      <c r="Z18" s="10" t="s">
        <v>34</v>
      </c>
      <c r="AA18" s="10" t="s">
        <v>181</v>
      </c>
      <c r="AB18" t="s">
        <v>180</v>
      </c>
    </row>
    <row r="19" spans="1:28" x14ac:dyDescent="0.35">
      <c r="A19">
        <v>13643</v>
      </c>
      <c r="B19" t="s">
        <v>89</v>
      </c>
      <c r="C19" t="s">
        <v>84</v>
      </c>
      <c r="D19" t="s">
        <v>45</v>
      </c>
      <c r="E19" t="s">
        <v>30</v>
      </c>
      <c r="F19">
        <v>100</v>
      </c>
      <c r="G19" t="s">
        <v>31</v>
      </c>
      <c r="H19" t="s">
        <v>32</v>
      </c>
      <c r="I19" t="s">
        <v>85</v>
      </c>
      <c r="J19" s="7">
        <v>1</v>
      </c>
      <c r="K19" s="7">
        <v>1</v>
      </c>
      <c r="L19" s="7">
        <v>0</v>
      </c>
      <c r="M19" s="8">
        <v>1</v>
      </c>
      <c r="N19" s="18">
        <v>0.05</v>
      </c>
      <c r="O19" s="18">
        <v>0.05</v>
      </c>
      <c r="P19" s="8">
        <v>0.1</v>
      </c>
      <c r="Q19" s="18">
        <v>0.7</v>
      </c>
      <c r="R19" s="8">
        <v>0.1</v>
      </c>
      <c r="S19" s="8">
        <v>0.9</v>
      </c>
      <c r="T19" s="8">
        <v>0.9</v>
      </c>
      <c r="U19" s="8">
        <v>0</v>
      </c>
      <c r="V19" s="8">
        <v>1</v>
      </c>
      <c r="W19" s="8">
        <v>0</v>
      </c>
      <c r="X19" s="8">
        <v>0</v>
      </c>
      <c r="Y19" t="str">
        <f t="shared" si="1"/>
        <v>OK</v>
      </c>
      <c r="Z19" s="19" t="s">
        <v>34</v>
      </c>
      <c r="AA19" s="10" t="s">
        <v>181</v>
      </c>
      <c r="AB19" t="s">
        <v>184</v>
      </c>
    </row>
    <row r="20" spans="1:28" x14ac:dyDescent="0.35">
      <c r="A20">
        <v>9247</v>
      </c>
      <c r="B20" t="s">
        <v>90</v>
      </c>
      <c r="C20" t="s">
        <v>91</v>
      </c>
      <c r="D20" t="s">
        <v>45</v>
      </c>
      <c r="E20" t="s">
        <v>30</v>
      </c>
      <c r="F20">
        <v>100</v>
      </c>
      <c r="G20" t="s">
        <v>31</v>
      </c>
      <c r="H20" t="s">
        <v>32</v>
      </c>
      <c r="I20" t="s">
        <v>33</v>
      </c>
      <c r="J20" s="7">
        <v>1</v>
      </c>
      <c r="K20" s="7">
        <v>1</v>
      </c>
      <c r="L20" s="7">
        <v>0</v>
      </c>
      <c r="M20" s="8">
        <v>1</v>
      </c>
      <c r="N20" s="8">
        <v>0.33</v>
      </c>
      <c r="O20" s="8">
        <v>0.33</v>
      </c>
      <c r="P20" s="8">
        <v>0.34</v>
      </c>
      <c r="Q20" s="8">
        <v>0</v>
      </c>
      <c r="R20" s="8">
        <v>0</v>
      </c>
      <c r="S20" s="8">
        <v>0.95</v>
      </c>
      <c r="T20" s="8">
        <v>0.05</v>
      </c>
      <c r="U20" s="8">
        <v>0</v>
      </c>
      <c r="V20" s="8">
        <v>1</v>
      </c>
      <c r="W20" s="8">
        <v>0</v>
      </c>
      <c r="X20" s="8">
        <v>0</v>
      </c>
      <c r="Y20" t="str">
        <f t="shared" si="1"/>
        <v>OK</v>
      </c>
      <c r="Z20" s="10" t="s">
        <v>34</v>
      </c>
      <c r="AA20" s="10" t="s">
        <v>181</v>
      </c>
    </row>
    <row r="21" spans="1:28" s="20" customFormat="1" x14ac:dyDescent="0.35">
      <c r="A21" s="24">
        <v>10176</v>
      </c>
      <c r="B21" s="20" t="s">
        <v>174</v>
      </c>
      <c r="C21" s="20" t="s">
        <v>63</v>
      </c>
      <c r="D21" s="20" t="s">
        <v>45</v>
      </c>
      <c r="E21" s="20" t="s">
        <v>30</v>
      </c>
      <c r="F21" s="28">
        <v>0</v>
      </c>
      <c r="G21" s="20" t="s">
        <v>31</v>
      </c>
      <c r="H21" s="20" t="s">
        <v>32</v>
      </c>
      <c r="I21" s="20" t="s">
        <v>33</v>
      </c>
      <c r="J21" s="21">
        <v>1</v>
      </c>
      <c r="K21" s="21">
        <v>1</v>
      </c>
      <c r="L21" s="21">
        <v>0</v>
      </c>
      <c r="M21" s="22">
        <v>1</v>
      </c>
      <c r="N21" s="22">
        <v>0.05</v>
      </c>
      <c r="O21" s="22">
        <v>0.05</v>
      </c>
      <c r="P21" s="22">
        <v>0.8</v>
      </c>
      <c r="Q21" s="22">
        <v>0.1</v>
      </c>
      <c r="R21" s="22">
        <v>0</v>
      </c>
      <c r="S21" s="22">
        <v>0.2</v>
      </c>
      <c r="T21" s="8">
        <v>0</v>
      </c>
      <c r="U21" s="22">
        <v>0</v>
      </c>
      <c r="V21" s="22">
        <v>1</v>
      </c>
      <c r="W21" s="22">
        <v>0</v>
      </c>
      <c r="X21" s="22">
        <v>0</v>
      </c>
      <c r="Y21" s="20" t="str">
        <f t="shared" ref="Y21" si="2">IF(L21=1,"OK",IF(AND(SUM($N21:$R21)=1,SUM($U21:$X21)),"OK","Not 100%"))</f>
        <v>OK</v>
      </c>
      <c r="Z21" s="23" t="s">
        <v>34</v>
      </c>
      <c r="AA21" s="23" t="s">
        <v>40</v>
      </c>
      <c r="AB21" s="20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0B8B-EC4D-4041-9270-E175C9E57699}">
  <sheetPr>
    <tabColor theme="9" tint="0.59999389629810485"/>
  </sheetPr>
  <dimension ref="A1:AB22"/>
  <sheetViews>
    <sheetView zoomScale="85" zoomScaleNormal="85" workbookViewId="0">
      <pane ySplit="1" topLeftCell="A2" activePane="bottomLeft" state="frozen"/>
      <selection activeCell="X162" sqref="X162"/>
      <selection pane="bottomLeft" activeCell="X162" sqref="X162"/>
    </sheetView>
  </sheetViews>
  <sheetFormatPr baseColWidth="10" defaultColWidth="8.7265625" defaultRowHeight="14.5" x14ac:dyDescent="0.35"/>
  <cols>
    <col min="1" max="1" width="16" customWidth="1"/>
    <col min="2" max="2" width="31.81640625" bestFit="1" customWidth="1"/>
    <col min="3" max="3" width="59.1796875" customWidth="1"/>
    <col min="4" max="4" width="24.54296875" customWidth="1"/>
    <col min="5" max="5" width="19.54296875" customWidth="1"/>
    <col min="6" max="6" width="12.453125" customWidth="1"/>
    <col min="7" max="7" width="14.81640625" customWidth="1"/>
    <col min="8" max="8" width="15.81640625" customWidth="1"/>
    <col min="9" max="9" width="9.81640625" customWidth="1"/>
    <col min="10" max="10" width="14.1796875" customWidth="1"/>
    <col min="11" max="11" width="8.7265625" customWidth="1"/>
    <col min="26" max="27" width="14.81640625" style="10" customWidth="1"/>
    <col min="28" max="28" width="34.81640625" customWidth="1"/>
  </cols>
  <sheetData>
    <row r="1" spans="1:28" ht="39" x14ac:dyDescent="0.35">
      <c r="A1" s="1" t="s">
        <v>0</v>
      </c>
      <c r="B1" s="12" t="s">
        <v>1</v>
      </c>
      <c r="C1" s="1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12" t="s">
        <v>10</v>
      </c>
      <c r="L1" s="12" t="s">
        <v>11</v>
      </c>
      <c r="M1" s="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5" t="s">
        <v>18</v>
      </c>
      <c r="T1" s="14" t="s">
        <v>197</v>
      </c>
      <c r="U1" s="5" t="s">
        <v>19</v>
      </c>
      <c r="V1" s="5" t="s">
        <v>20</v>
      </c>
      <c r="W1" s="5" t="s">
        <v>21</v>
      </c>
      <c r="X1" s="5" t="s">
        <v>22</v>
      </c>
      <c r="Y1" s="6" t="s">
        <v>23</v>
      </c>
      <c r="Z1" s="15" t="s">
        <v>24</v>
      </c>
      <c r="AA1" s="15" t="s">
        <v>25</v>
      </c>
      <c r="AB1" s="11" t="s">
        <v>26</v>
      </c>
    </row>
    <row r="2" spans="1:28" x14ac:dyDescent="0.35">
      <c r="A2">
        <v>2520</v>
      </c>
      <c r="B2" t="s">
        <v>35</v>
      </c>
      <c r="C2" t="s">
        <v>36</v>
      </c>
      <c r="D2" t="s">
        <v>37</v>
      </c>
      <c r="E2" t="s">
        <v>30</v>
      </c>
      <c r="F2">
        <v>100</v>
      </c>
      <c r="G2" t="s">
        <v>31</v>
      </c>
      <c r="H2" t="s">
        <v>32</v>
      </c>
      <c r="I2" t="s">
        <v>33</v>
      </c>
      <c r="J2" s="7">
        <v>1</v>
      </c>
      <c r="K2" s="7">
        <v>1</v>
      </c>
      <c r="L2" s="7">
        <v>0</v>
      </c>
      <c r="M2" s="8">
        <v>1</v>
      </c>
      <c r="N2" s="8">
        <v>0.75</v>
      </c>
      <c r="O2" s="8">
        <v>0</v>
      </c>
      <c r="P2" s="8">
        <v>0.25</v>
      </c>
      <c r="Q2" s="8">
        <v>0</v>
      </c>
      <c r="R2" s="8">
        <v>0</v>
      </c>
      <c r="S2" s="8">
        <v>0.5</v>
      </c>
      <c r="T2" s="8">
        <f>VLOOKUP(B2,'[1]EMEA- AMER'!$A:$Q,17,FALSE)</f>
        <v>0</v>
      </c>
      <c r="U2" s="8">
        <v>1</v>
      </c>
      <c r="V2" s="8">
        <v>0</v>
      </c>
      <c r="W2" s="8">
        <v>0</v>
      </c>
      <c r="X2" s="8">
        <v>0</v>
      </c>
      <c r="Y2" t="str">
        <f t="shared" ref="Y2:Y7" si="0">IF(L2=1,"OK",IF(AND(SUM($N2:$R2)=1,SUM($U2:$X2)),"OK","Not 100%"))</f>
        <v>OK</v>
      </c>
      <c r="Z2" s="10" t="s">
        <v>34</v>
      </c>
      <c r="AA2" s="10" t="s">
        <v>186</v>
      </c>
    </row>
    <row r="3" spans="1:28" x14ac:dyDescent="0.35">
      <c r="A3">
        <v>11137</v>
      </c>
      <c r="B3" t="s">
        <v>38</v>
      </c>
      <c r="C3" t="s">
        <v>36</v>
      </c>
      <c r="D3" t="s">
        <v>37</v>
      </c>
      <c r="E3" t="s">
        <v>30</v>
      </c>
      <c r="F3">
        <v>100</v>
      </c>
      <c r="G3" t="s">
        <v>31</v>
      </c>
      <c r="H3" t="s">
        <v>32</v>
      </c>
      <c r="I3" t="s">
        <v>33</v>
      </c>
      <c r="J3" s="7">
        <v>1</v>
      </c>
      <c r="K3" s="7">
        <v>1</v>
      </c>
      <c r="L3" s="7">
        <v>0</v>
      </c>
      <c r="M3" s="8">
        <v>1</v>
      </c>
      <c r="N3" s="8">
        <v>1</v>
      </c>
      <c r="O3" s="8">
        <v>0</v>
      </c>
      <c r="P3" s="8">
        <v>0</v>
      </c>
      <c r="Q3" s="8">
        <v>0</v>
      </c>
      <c r="R3" s="8">
        <v>0</v>
      </c>
      <c r="S3" s="8">
        <v>1</v>
      </c>
      <c r="T3" s="8">
        <f>VLOOKUP(B3,'[1]EMEA- AMER'!$A:$Q,17,FALSE)</f>
        <v>0</v>
      </c>
      <c r="U3" s="8">
        <v>1</v>
      </c>
      <c r="V3" s="8">
        <v>0</v>
      </c>
      <c r="W3" s="8">
        <v>0</v>
      </c>
      <c r="X3" s="8">
        <v>0</v>
      </c>
      <c r="Y3" t="str">
        <f t="shared" si="0"/>
        <v>OK</v>
      </c>
      <c r="Z3" s="10" t="s">
        <v>34</v>
      </c>
      <c r="AA3" s="10" t="s">
        <v>186</v>
      </c>
    </row>
    <row r="4" spans="1:28" x14ac:dyDescent="0.35">
      <c r="A4">
        <v>233</v>
      </c>
      <c r="B4" t="s">
        <v>73</v>
      </c>
      <c r="C4" t="s">
        <v>74</v>
      </c>
      <c r="D4" t="s">
        <v>37</v>
      </c>
      <c r="E4" t="s">
        <v>30</v>
      </c>
      <c r="F4">
        <v>100</v>
      </c>
      <c r="G4" t="s">
        <v>31</v>
      </c>
      <c r="H4" t="s">
        <v>32</v>
      </c>
      <c r="I4" t="s">
        <v>33</v>
      </c>
      <c r="J4" s="7">
        <v>1</v>
      </c>
      <c r="K4" s="7">
        <v>1</v>
      </c>
      <c r="L4" s="7">
        <v>0</v>
      </c>
      <c r="M4" s="8">
        <v>1</v>
      </c>
      <c r="N4" s="8">
        <v>0.67</v>
      </c>
      <c r="O4" s="8">
        <v>0</v>
      </c>
      <c r="P4" s="8">
        <v>0.33</v>
      </c>
      <c r="Q4" s="8">
        <v>0</v>
      </c>
      <c r="R4" s="8">
        <v>0</v>
      </c>
      <c r="S4" s="8">
        <v>1</v>
      </c>
      <c r="T4" s="8">
        <f>VLOOKUP(B4,'[1]EMEA- AMER'!$A:$Q,17,FALSE)</f>
        <v>0</v>
      </c>
      <c r="U4" s="8">
        <v>1</v>
      </c>
      <c r="V4" s="8">
        <v>0</v>
      </c>
      <c r="W4" s="8">
        <v>0</v>
      </c>
      <c r="X4" s="8">
        <v>0</v>
      </c>
      <c r="Y4" t="str">
        <f t="shared" si="0"/>
        <v>OK</v>
      </c>
      <c r="Z4" s="10" t="s">
        <v>34</v>
      </c>
      <c r="AA4" s="10" t="s">
        <v>186</v>
      </c>
    </row>
    <row r="5" spans="1:28" x14ac:dyDescent="0.35">
      <c r="A5">
        <v>4193</v>
      </c>
      <c r="B5" t="s">
        <v>75</v>
      </c>
      <c r="C5" t="s">
        <v>76</v>
      </c>
      <c r="D5" t="s">
        <v>37</v>
      </c>
      <c r="E5" t="s">
        <v>30</v>
      </c>
      <c r="F5">
        <v>100</v>
      </c>
      <c r="G5" t="s">
        <v>31</v>
      </c>
      <c r="H5" t="s">
        <v>32</v>
      </c>
      <c r="I5" t="s">
        <v>33</v>
      </c>
      <c r="J5" s="7">
        <v>1</v>
      </c>
      <c r="K5" s="7">
        <v>1</v>
      </c>
      <c r="L5" s="7">
        <v>0</v>
      </c>
      <c r="M5" s="8">
        <v>1</v>
      </c>
      <c r="N5" s="8">
        <v>0.75</v>
      </c>
      <c r="O5" s="8">
        <v>0</v>
      </c>
      <c r="P5" s="8">
        <v>0.25</v>
      </c>
      <c r="Q5" s="8">
        <v>0</v>
      </c>
      <c r="R5" s="8">
        <v>0</v>
      </c>
      <c r="S5" s="8">
        <v>1</v>
      </c>
      <c r="T5" s="8">
        <f>VLOOKUP(B5,'[1]EMEA- AMER'!$A:$Q,17,FALSE)</f>
        <v>0</v>
      </c>
      <c r="U5" s="8">
        <v>1</v>
      </c>
      <c r="V5" s="8">
        <v>0</v>
      </c>
      <c r="W5" s="8">
        <v>0</v>
      </c>
      <c r="X5" s="8">
        <v>0</v>
      </c>
      <c r="Y5" t="str">
        <f t="shared" si="0"/>
        <v>OK</v>
      </c>
      <c r="Z5" s="10" t="s">
        <v>34</v>
      </c>
      <c r="AA5" s="10" t="s">
        <v>186</v>
      </c>
    </row>
    <row r="6" spans="1:28" x14ac:dyDescent="0.35">
      <c r="A6">
        <v>9892</v>
      </c>
      <c r="B6" t="s">
        <v>77</v>
      </c>
      <c r="C6" t="s">
        <v>36</v>
      </c>
      <c r="D6" t="s">
        <v>37</v>
      </c>
      <c r="E6" t="s">
        <v>30</v>
      </c>
      <c r="F6" s="9">
        <v>90</v>
      </c>
      <c r="G6" t="s">
        <v>31</v>
      </c>
      <c r="H6" t="s">
        <v>32</v>
      </c>
      <c r="I6" t="s">
        <v>33</v>
      </c>
      <c r="J6" s="7">
        <v>1</v>
      </c>
      <c r="K6" s="7">
        <v>1</v>
      </c>
      <c r="L6" s="7">
        <v>0</v>
      </c>
      <c r="M6" s="8">
        <v>1</v>
      </c>
      <c r="N6" s="8">
        <v>0.2</v>
      </c>
      <c r="O6" s="8">
        <v>0</v>
      </c>
      <c r="P6" s="8">
        <v>0.8</v>
      </c>
      <c r="Q6" s="8">
        <v>0</v>
      </c>
      <c r="R6" s="8">
        <v>0</v>
      </c>
      <c r="S6" s="8">
        <v>0</v>
      </c>
      <c r="T6" s="8">
        <f>VLOOKUP(B6,'[1]EMEA- AMER'!$A:$Q,17,FALSE)</f>
        <v>0</v>
      </c>
      <c r="U6" s="8">
        <v>1</v>
      </c>
      <c r="V6" s="8">
        <v>0</v>
      </c>
      <c r="W6" s="8">
        <v>0</v>
      </c>
      <c r="X6" s="8">
        <v>0</v>
      </c>
      <c r="Y6" t="str">
        <f t="shared" si="0"/>
        <v>OK</v>
      </c>
      <c r="Z6" s="10" t="s">
        <v>34</v>
      </c>
      <c r="AA6" s="10" t="s">
        <v>186</v>
      </c>
    </row>
    <row r="7" spans="1:28" x14ac:dyDescent="0.35">
      <c r="A7">
        <v>5283</v>
      </c>
      <c r="B7" t="s">
        <v>78</v>
      </c>
      <c r="C7" t="s">
        <v>36</v>
      </c>
      <c r="D7" t="s">
        <v>37</v>
      </c>
      <c r="E7" t="s">
        <v>30</v>
      </c>
      <c r="F7" s="9">
        <v>75</v>
      </c>
      <c r="G7" t="s">
        <v>31</v>
      </c>
      <c r="H7" t="s">
        <v>32</v>
      </c>
      <c r="I7" t="s">
        <v>33</v>
      </c>
      <c r="J7" s="7">
        <v>1</v>
      </c>
      <c r="K7" s="7">
        <v>1</v>
      </c>
      <c r="L7" s="7">
        <v>0</v>
      </c>
      <c r="M7" s="8">
        <v>1</v>
      </c>
      <c r="N7" s="8">
        <v>0.4</v>
      </c>
      <c r="O7" s="8">
        <v>0.3</v>
      </c>
      <c r="P7" s="8">
        <v>0.3</v>
      </c>
      <c r="Q7" s="8">
        <v>0</v>
      </c>
      <c r="R7" s="8">
        <v>0</v>
      </c>
      <c r="S7" s="8">
        <v>1</v>
      </c>
      <c r="T7" s="8">
        <f>VLOOKUP(B7,'[1]EMEA- AMER'!$A:$Q,17,FALSE)</f>
        <v>0</v>
      </c>
      <c r="U7" s="8">
        <v>1</v>
      </c>
      <c r="V7" s="8">
        <v>0</v>
      </c>
      <c r="W7" s="8">
        <v>0</v>
      </c>
      <c r="X7" s="8">
        <v>0</v>
      </c>
      <c r="Y7" t="str">
        <f t="shared" si="0"/>
        <v>OK</v>
      </c>
      <c r="Z7" s="10" t="s">
        <v>34</v>
      </c>
      <c r="AA7" s="10" t="s">
        <v>186</v>
      </c>
    </row>
    <row r="8" spans="1:28" x14ac:dyDescent="0.35">
      <c r="A8">
        <v>11160</v>
      </c>
      <c r="B8" t="s">
        <v>79</v>
      </c>
      <c r="C8" t="s">
        <v>80</v>
      </c>
      <c r="D8" t="s">
        <v>37</v>
      </c>
      <c r="E8" t="s">
        <v>30</v>
      </c>
      <c r="F8">
        <v>100</v>
      </c>
      <c r="G8" t="s">
        <v>31</v>
      </c>
      <c r="H8" t="s">
        <v>32</v>
      </c>
      <c r="I8" t="s">
        <v>33</v>
      </c>
      <c r="J8" s="7">
        <v>1</v>
      </c>
      <c r="K8" s="7">
        <v>1</v>
      </c>
      <c r="L8" s="7">
        <v>0</v>
      </c>
      <c r="M8" s="8">
        <v>1</v>
      </c>
      <c r="N8" s="8">
        <v>0.33</v>
      </c>
      <c r="O8" s="8">
        <v>0.33</v>
      </c>
      <c r="P8" s="8">
        <v>0.34</v>
      </c>
      <c r="Q8" s="8">
        <v>0</v>
      </c>
      <c r="R8" s="8">
        <v>0</v>
      </c>
      <c r="S8" s="8">
        <v>1</v>
      </c>
      <c r="T8" s="8">
        <f>VLOOKUP(B8,'[1]EMEA- AMER'!$A:$Q,17,FALSE)</f>
        <v>0</v>
      </c>
      <c r="U8" s="8">
        <v>1</v>
      </c>
      <c r="V8" s="8">
        <v>0</v>
      </c>
      <c r="W8" s="8">
        <v>0</v>
      </c>
      <c r="X8" s="8">
        <v>0</v>
      </c>
      <c r="Y8" t="str">
        <f t="shared" ref="Y8:Y13" si="1">IF(L8=1,"OK",IF(AND(SUM($N8:$R8)=1,SUM($U8:$X8)),"OK","Not 100%"))</f>
        <v>OK</v>
      </c>
      <c r="Z8" s="10" t="s">
        <v>34</v>
      </c>
      <c r="AA8" s="10" t="s">
        <v>186</v>
      </c>
    </row>
    <row r="9" spans="1:28" x14ac:dyDescent="0.35">
      <c r="A9">
        <v>8157</v>
      </c>
      <c r="B9" t="s">
        <v>124</v>
      </c>
      <c r="C9" t="s">
        <v>36</v>
      </c>
      <c r="D9" t="s">
        <v>37</v>
      </c>
      <c r="E9" t="s">
        <v>30</v>
      </c>
      <c r="F9">
        <v>100</v>
      </c>
      <c r="G9" t="s">
        <v>31</v>
      </c>
      <c r="H9" t="s">
        <v>32</v>
      </c>
      <c r="I9" t="s">
        <v>33</v>
      </c>
      <c r="J9" s="7">
        <v>1</v>
      </c>
      <c r="K9" s="7">
        <v>1</v>
      </c>
      <c r="L9" s="7">
        <v>0</v>
      </c>
      <c r="M9" s="8">
        <v>1</v>
      </c>
      <c r="N9" s="8">
        <v>0.4</v>
      </c>
      <c r="O9" s="8">
        <v>0.2</v>
      </c>
      <c r="P9" s="8">
        <v>0.4</v>
      </c>
      <c r="Q9" s="8">
        <v>0</v>
      </c>
      <c r="R9" s="8">
        <v>0</v>
      </c>
      <c r="S9" s="8">
        <v>0.5</v>
      </c>
      <c r="T9" s="8">
        <f>VLOOKUP(B9,'[1]EMEA- AMER'!$A:$Q,17,FALSE)</f>
        <v>0</v>
      </c>
      <c r="U9" s="8">
        <v>1</v>
      </c>
      <c r="V9" s="8">
        <v>0</v>
      </c>
      <c r="W9" s="8">
        <v>0</v>
      </c>
      <c r="X9" s="8">
        <v>0</v>
      </c>
      <c r="Y9" t="str">
        <f t="shared" si="1"/>
        <v>OK</v>
      </c>
      <c r="Z9" s="10" t="s">
        <v>34</v>
      </c>
      <c r="AA9" s="10" t="s">
        <v>186</v>
      </c>
    </row>
    <row r="10" spans="1:28" x14ac:dyDescent="0.35">
      <c r="A10">
        <v>9758</v>
      </c>
      <c r="B10" t="s">
        <v>125</v>
      </c>
      <c r="C10" t="s">
        <v>36</v>
      </c>
      <c r="D10" t="s">
        <v>37</v>
      </c>
      <c r="E10" t="s">
        <v>30</v>
      </c>
      <c r="F10">
        <v>100</v>
      </c>
      <c r="G10" t="s">
        <v>31</v>
      </c>
      <c r="H10" t="s">
        <v>32</v>
      </c>
      <c r="I10" t="s">
        <v>33</v>
      </c>
      <c r="J10" s="7">
        <v>1</v>
      </c>
      <c r="K10" s="7">
        <v>1</v>
      </c>
      <c r="L10" s="7">
        <v>0</v>
      </c>
      <c r="M10" s="8">
        <v>1</v>
      </c>
      <c r="N10" s="8">
        <v>0.15</v>
      </c>
      <c r="O10" s="8">
        <v>0.45</v>
      </c>
      <c r="P10" s="8">
        <v>0.4</v>
      </c>
      <c r="Q10" s="8">
        <v>0</v>
      </c>
      <c r="R10" s="8">
        <v>0</v>
      </c>
      <c r="S10" s="8">
        <v>0.2</v>
      </c>
      <c r="T10" s="8">
        <f>VLOOKUP(B10,'[1]EMEA- AMER'!$A:$Q,17,FALSE)</f>
        <v>0</v>
      </c>
      <c r="U10" s="8">
        <v>1</v>
      </c>
      <c r="V10" s="8">
        <v>0</v>
      </c>
      <c r="W10" s="8">
        <v>0</v>
      </c>
      <c r="X10" s="8">
        <v>0</v>
      </c>
      <c r="Y10" t="str">
        <f t="shared" si="1"/>
        <v>OK</v>
      </c>
      <c r="Z10" s="10" t="s">
        <v>34</v>
      </c>
      <c r="AA10" s="10" t="s">
        <v>186</v>
      </c>
    </row>
    <row r="11" spans="1:28" x14ac:dyDescent="0.35">
      <c r="A11">
        <v>9418</v>
      </c>
      <c r="B11" t="s">
        <v>126</v>
      </c>
      <c r="C11" t="s">
        <v>123</v>
      </c>
      <c r="D11" t="s">
        <v>37</v>
      </c>
      <c r="E11" t="s">
        <v>39</v>
      </c>
      <c r="F11">
        <v>100</v>
      </c>
      <c r="G11" t="s">
        <v>31</v>
      </c>
      <c r="H11" t="s">
        <v>32</v>
      </c>
      <c r="I11" t="s">
        <v>33</v>
      </c>
      <c r="J11" s="7">
        <v>1</v>
      </c>
      <c r="K11" s="7">
        <v>1</v>
      </c>
      <c r="L11" s="7">
        <v>0</v>
      </c>
      <c r="M11" s="8">
        <v>1</v>
      </c>
      <c r="N11" s="8">
        <v>0.5</v>
      </c>
      <c r="O11" s="8">
        <v>0.1</v>
      </c>
      <c r="P11" s="8">
        <v>0.4</v>
      </c>
      <c r="Q11" s="8">
        <v>0</v>
      </c>
      <c r="R11" s="8">
        <v>0</v>
      </c>
      <c r="S11" s="8">
        <v>0.7</v>
      </c>
      <c r="T11" s="8">
        <f>VLOOKUP(B11,'[1]EMEA- AMER'!$A:$Q,17,FALSE)</f>
        <v>0</v>
      </c>
      <c r="U11" s="8">
        <v>1</v>
      </c>
      <c r="V11" s="8">
        <v>0</v>
      </c>
      <c r="W11" s="8">
        <v>0</v>
      </c>
      <c r="X11" s="8">
        <v>0</v>
      </c>
      <c r="Y11" t="str">
        <f t="shared" si="1"/>
        <v>OK</v>
      </c>
      <c r="Z11" s="10" t="s">
        <v>34</v>
      </c>
      <c r="AA11" s="10" t="s">
        <v>186</v>
      </c>
    </row>
    <row r="12" spans="1:28" x14ac:dyDescent="0.35">
      <c r="A12">
        <v>6786</v>
      </c>
      <c r="B12" t="s">
        <v>127</v>
      </c>
      <c r="C12" t="s">
        <v>128</v>
      </c>
      <c r="D12" t="s">
        <v>37</v>
      </c>
      <c r="E12" t="s">
        <v>39</v>
      </c>
      <c r="F12">
        <v>100</v>
      </c>
      <c r="G12" t="s">
        <v>31</v>
      </c>
      <c r="H12" t="s">
        <v>32</v>
      </c>
      <c r="I12" t="s">
        <v>33</v>
      </c>
      <c r="J12" s="7">
        <v>1</v>
      </c>
      <c r="K12" s="7">
        <v>1</v>
      </c>
      <c r="L12" s="7">
        <v>0</v>
      </c>
      <c r="M12" s="8">
        <v>1</v>
      </c>
      <c r="N12" s="8">
        <v>0.5</v>
      </c>
      <c r="O12" s="8">
        <v>0.1</v>
      </c>
      <c r="P12" s="8">
        <v>0.4</v>
      </c>
      <c r="Q12" s="8">
        <v>0</v>
      </c>
      <c r="R12" s="8">
        <v>0</v>
      </c>
      <c r="S12" s="8">
        <v>0.7</v>
      </c>
      <c r="T12" s="8">
        <f>VLOOKUP(B12,'[1]EMEA- AMER'!$A:$Q,17,FALSE)</f>
        <v>0</v>
      </c>
      <c r="U12" s="8">
        <v>1</v>
      </c>
      <c r="V12" s="8">
        <v>0</v>
      </c>
      <c r="W12" s="8">
        <v>0</v>
      </c>
      <c r="X12" s="8">
        <v>0</v>
      </c>
      <c r="Y12" t="str">
        <f t="shared" si="1"/>
        <v>OK</v>
      </c>
      <c r="Z12" s="10" t="s">
        <v>34</v>
      </c>
      <c r="AA12" s="10" t="s">
        <v>186</v>
      </c>
    </row>
    <row r="13" spans="1:28" x14ac:dyDescent="0.35">
      <c r="A13">
        <v>9438</v>
      </c>
      <c r="B13" t="s">
        <v>129</v>
      </c>
      <c r="C13" t="s">
        <v>80</v>
      </c>
      <c r="D13" t="s">
        <v>37</v>
      </c>
      <c r="E13" t="s">
        <v>30</v>
      </c>
      <c r="F13">
        <v>100</v>
      </c>
      <c r="G13" t="s">
        <v>31</v>
      </c>
      <c r="H13" t="s">
        <v>32</v>
      </c>
      <c r="I13" t="s">
        <v>33</v>
      </c>
      <c r="J13" s="7">
        <v>1</v>
      </c>
      <c r="K13" s="7">
        <v>1</v>
      </c>
      <c r="L13" s="7">
        <v>0</v>
      </c>
      <c r="M13" s="8">
        <v>1</v>
      </c>
      <c r="N13" s="8">
        <v>0.1</v>
      </c>
      <c r="O13" s="8">
        <v>0.45</v>
      </c>
      <c r="P13" s="8">
        <v>0.45</v>
      </c>
      <c r="Q13" s="8">
        <v>0</v>
      </c>
      <c r="R13" s="8">
        <v>0</v>
      </c>
      <c r="S13" s="8">
        <v>0.8</v>
      </c>
      <c r="T13" s="8">
        <f>VLOOKUP(B13,'[1]EMEA- AMER'!$A:$Q,17,FALSE)</f>
        <v>0</v>
      </c>
      <c r="U13" s="8">
        <v>1</v>
      </c>
      <c r="V13" s="8">
        <v>0</v>
      </c>
      <c r="W13" s="8">
        <v>0</v>
      </c>
      <c r="X13" s="8">
        <v>0</v>
      </c>
      <c r="Y13" t="str">
        <f t="shared" si="1"/>
        <v>OK</v>
      </c>
      <c r="Z13" s="10" t="s">
        <v>34</v>
      </c>
      <c r="AA13" s="10" t="s">
        <v>186</v>
      </c>
    </row>
    <row r="14" spans="1:28" x14ac:dyDescent="0.35">
      <c r="A14">
        <v>10179</v>
      </c>
      <c r="B14" t="s">
        <v>130</v>
      </c>
      <c r="C14" t="s">
        <v>80</v>
      </c>
      <c r="D14" t="s">
        <v>37</v>
      </c>
      <c r="E14" t="s">
        <v>30</v>
      </c>
      <c r="F14">
        <v>100</v>
      </c>
      <c r="G14" t="s">
        <v>31</v>
      </c>
      <c r="H14" t="s">
        <v>32</v>
      </c>
      <c r="I14" t="s">
        <v>33</v>
      </c>
      <c r="J14" s="7">
        <v>1</v>
      </c>
      <c r="K14" s="7">
        <v>1</v>
      </c>
      <c r="L14" s="7">
        <v>0</v>
      </c>
      <c r="M14" s="8">
        <v>1</v>
      </c>
      <c r="N14" s="8">
        <v>0.01</v>
      </c>
      <c r="O14" s="8">
        <v>0.21</v>
      </c>
      <c r="P14" s="8">
        <v>0.78</v>
      </c>
      <c r="Q14" s="8">
        <v>0</v>
      </c>
      <c r="R14" s="8">
        <v>0</v>
      </c>
      <c r="S14" s="8">
        <v>0.6</v>
      </c>
      <c r="T14" s="8">
        <f>VLOOKUP(B14,'[1]EMEA- AMER'!$A:$Q,17,FALSE)</f>
        <v>0</v>
      </c>
      <c r="U14" s="8">
        <v>1</v>
      </c>
      <c r="V14" s="8">
        <v>0</v>
      </c>
      <c r="W14" s="8">
        <v>0</v>
      </c>
      <c r="X14" s="8">
        <v>0</v>
      </c>
      <c r="Y14" t="str">
        <f t="shared" ref="Y14:Y22" si="2">IF(L14=1,"OK",IF(AND(SUM($N14:$R14)=1,SUM($U14:$X14)),"OK","Not 100%"))</f>
        <v>OK</v>
      </c>
      <c r="Z14" s="10" t="s">
        <v>34</v>
      </c>
      <c r="AA14" s="10" t="s">
        <v>186</v>
      </c>
    </row>
    <row r="15" spans="1:28" x14ac:dyDescent="0.35">
      <c r="A15">
        <v>6044</v>
      </c>
      <c r="B15" t="s">
        <v>131</v>
      </c>
      <c r="C15" t="s">
        <v>36</v>
      </c>
      <c r="D15" t="s">
        <v>37</v>
      </c>
      <c r="E15" t="s">
        <v>30</v>
      </c>
      <c r="F15">
        <v>100</v>
      </c>
      <c r="G15" t="s">
        <v>31</v>
      </c>
      <c r="H15" t="s">
        <v>32</v>
      </c>
      <c r="I15" t="s">
        <v>33</v>
      </c>
      <c r="J15" s="7">
        <v>1</v>
      </c>
      <c r="K15" s="7">
        <v>1</v>
      </c>
      <c r="L15" s="7">
        <v>0</v>
      </c>
      <c r="M15" s="8">
        <v>1</v>
      </c>
      <c r="N15" s="8">
        <v>0.17</v>
      </c>
      <c r="O15" s="8">
        <v>0.68</v>
      </c>
      <c r="P15" s="8">
        <v>0.15</v>
      </c>
      <c r="Q15" s="8">
        <v>0</v>
      </c>
      <c r="R15" s="8">
        <v>0</v>
      </c>
      <c r="S15" s="8">
        <v>1</v>
      </c>
      <c r="T15" s="8">
        <f>VLOOKUP(B15,'[1]EMEA- AMER'!$A:$Q,17,FALSE)</f>
        <v>0</v>
      </c>
      <c r="U15" s="8">
        <v>1</v>
      </c>
      <c r="V15" s="8">
        <v>0</v>
      </c>
      <c r="W15" s="8">
        <v>0</v>
      </c>
      <c r="X15" s="8">
        <v>0</v>
      </c>
      <c r="Y15" t="str">
        <f t="shared" si="2"/>
        <v>OK</v>
      </c>
      <c r="Z15" s="10" t="s">
        <v>34</v>
      </c>
      <c r="AA15" s="10" t="s">
        <v>186</v>
      </c>
    </row>
    <row r="16" spans="1:28" x14ac:dyDescent="0.35">
      <c r="A16">
        <v>7972</v>
      </c>
      <c r="B16" t="s">
        <v>132</v>
      </c>
      <c r="C16" t="s">
        <v>133</v>
      </c>
      <c r="D16" t="s">
        <v>37</v>
      </c>
      <c r="E16" t="s">
        <v>39</v>
      </c>
      <c r="F16">
        <v>100</v>
      </c>
      <c r="G16" t="s">
        <v>31</v>
      </c>
      <c r="H16" t="s">
        <v>32</v>
      </c>
      <c r="I16" t="s">
        <v>33</v>
      </c>
      <c r="J16" s="7">
        <v>1</v>
      </c>
      <c r="K16" s="7">
        <v>1</v>
      </c>
      <c r="L16" s="7">
        <v>0</v>
      </c>
      <c r="M16" s="8">
        <v>1</v>
      </c>
      <c r="N16" s="8">
        <v>0.5</v>
      </c>
      <c r="O16" s="8">
        <v>0.1</v>
      </c>
      <c r="P16" s="8">
        <v>0.4</v>
      </c>
      <c r="Q16" s="8">
        <v>0</v>
      </c>
      <c r="R16" s="8">
        <v>0</v>
      </c>
      <c r="S16" s="8">
        <v>0.7</v>
      </c>
      <c r="T16" s="8">
        <f>VLOOKUP(B16,'[1]EMEA- AMER'!$A:$Q,17,FALSE)</f>
        <v>0</v>
      </c>
      <c r="U16" s="8">
        <v>1</v>
      </c>
      <c r="V16" s="8">
        <v>0</v>
      </c>
      <c r="W16" s="8">
        <v>0</v>
      </c>
      <c r="X16" s="8">
        <v>0</v>
      </c>
      <c r="Y16" t="str">
        <f t="shared" si="2"/>
        <v>OK</v>
      </c>
      <c r="Z16" s="10" t="s">
        <v>34</v>
      </c>
      <c r="AA16" s="10" t="s">
        <v>186</v>
      </c>
    </row>
    <row r="17" spans="1:27" x14ac:dyDescent="0.35">
      <c r="A17">
        <v>4706</v>
      </c>
      <c r="B17" t="s">
        <v>134</v>
      </c>
      <c r="C17" t="s">
        <v>135</v>
      </c>
      <c r="D17" t="s">
        <v>37</v>
      </c>
      <c r="E17" t="s">
        <v>30</v>
      </c>
      <c r="F17" s="13">
        <v>0</v>
      </c>
      <c r="G17" t="s">
        <v>31</v>
      </c>
      <c r="H17" t="s">
        <v>32</v>
      </c>
      <c r="I17" t="s">
        <v>33</v>
      </c>
      <c r="J17" s="7">
        <v>1</v>
      </c>
      <c r="K17" s="17">
        <v>0</v>
      </c>
      <c r="L17" s="17">
        <v>1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t="str">
        <f t="shared" si="2"/>
        <v>OK</v>
      </c>
      <c r="Z17" s="10" t="s">
        <v>34</v>
      </c>
      <c r="AA17" s="10" t="s">
        <v>186</v>
      </c>
    </row>
    <row r="18" spans="1:27" x14ac:dyDescent="0.35">
      <c r="A18">
        <v>9487</v>
      </c>
      <c r="B18" t="s">
        <v>136</v>
      </c>
      <c r="C18" t="s">
        <v>137</v>
      </c>
      <c r="D18" t="s">
        <v>37</v>
      </c>
      <c r="E18" t="s">
        <v>30</v>
      </c>
      <c r="F18">
        <v>100</v>
      </c>
      <c r="G18" t="s">
        <v>31</v>
      </c>
      <c r="H18" t="s">
        <v>32</v>
      </c>
      <c r="I18" t="s">
        <v>33</v>
      </c>
      <c r="J18" s="7">
        <v>1</v>
      </c>
      <c r="K18" s="7">
        <v>1</v>
      </c>
      <c r="L18" s="7">
        <v>0</v>
      </c>
      <c r="M18" s="8">
        <v>1</v>
      </c>
      <c r="N18" s="8">
        <v>0.55000000000000004</v>
      </c>
      <c r="O18" s="8">
        <v>0.23</v>
      </c>
      <c r="P18" s="8">
        <v>0.22</v>
      </c>
      <c r="Q18" s="8">
        <v>0</v>
      </c>
      <c r="R18" s="8">
        <v>0</v>
      </c>
      <c r="S18" s="8">
        <v>0.5</v>
      </c>
      <c r="T18" s="8">
        <f>VLOOKUP(B18,'[1]EMEA- AMER'!$A:$Q,17,FALSE)</f>
        <v>0</v>
      </c>
      <c r="U18" s="8">
        <v>1</v>
      </c>
      <c r="V18" s="8">
        <v>0</v>
      </c>
      <c r="W18" s="8">
        <v>0</v>
      </c>
      <c r="X18" s="8">
        <v>0</v>
      </c>
      <c r="Y18" t="str">
        <f t="shared" si="2"/>
        <v>OK</v>
      </c>
      <c r="Z18" s="10" t="s">
        <v>34</v>
      </c>
      <c r="AA18" s="10" t="s">
        <v>186</v>
      </c>
    </row>
    <row r="19" spans="1:27" x14ac:dyDescent="0.35">
      <c r="A19">
        <v>13664</v>
      </c>
      <c r="B19" t="s">
        <v>138</v>
      </c>
      <c r="C19" t="s">
        <v>80</v>
      </c>
      <c r="D19" t="s">
        <v>37</v>
      </c>
      <c r="E19" t="s">
        <v>30</v>
      </c>
      <c r="F19">
        <v>100</v>
      </c>
      <c r="G19" t="s">
        <v>31</v>
      </c>
      <c r="H19" t="s">
        <v>32</v>
      </c>
      <c r="I19" t="s">
        <v>33</v>
      </c>
      <c r="J19" s="7">
        <v>1</v>
      </c>
      <c r="K19" s="7">
        <v>1</v>
      </c>
      <c r="L19" s="7">
        <v>0</v>
      </c>
      <c r="M19" s="8">
        <v>1</v>
      </c>
      <c r="N19" s="8">
        <v>0</v>
      </c>
      <c r="O19" s="8">
        <v>0.01</v>
      </c>
      <c r="P19" s="8">
        <v>0.99</v>
      </c>
      <c r="Q19" s="8">
        <v>0</v>
      </c>
      <c r="R19" s="8">
        <v>0</v>
      </c>
      <c r="S19" s="8">
        <v>0.3</v>
      </c>
      <c r="T19" s="8">
        <f>VLOOKUP(B19,'[1]EMEA- AMER'!$A:$Q,17,FALSE)</f>
        <v>0</v>
      </c>
      <c r="U19" s="8">
        <v>1</v>
      </c>
      <c r="V19" s="8">
        <v>0</v>
      </c>
      <c r="W19" s="8">
        <v>0</v>
      </c>
      <c r="X19" s="8">
        <v>0</v>
      </c>
      <c r="Y19" t="str">
        <f t="shared" si="2"/>
        <v>OK</v>
      </c>
      <c r="Z19" s="10" t="s">
        <v>34</v>
      </c>
      <c r="AA19" s="10" t="s">
        <v>186</v>
      </c>
    </row>
    <row r="20" spans="1:27" x14ac:dyDescent="0.35">
      <c r="A20" t="s">
        <v>139</v>
      </c>
      <c r="B20" t="s">
        <v>139</v>
      </c>
      <c r="C20" t="s">
        <v>137</v>
      </c>
      <c r="D20" t="s">
        <v>37</v>
      </c>
      <c r="E20" t="s">
        <v>30</v>
      </c>
      <c r="F20">
        <v>100</v>
      </c>
      <c r="G20" t="s">
        <v>31</v>
      </c>
      <c r="H20" t="s">
        <v>32</v>
      </c>
      <c r="I20" t="s">
        <v>33</v>
      </c>
      <c r="J20" s="7">
        <v>1</v>
      </c>
      <c r="K20" s="7">
        <v>1</v>
      </c>
      <c r="L20" s="7">
        <v>0</v>
      </c>
      <c r="M20" s="8">
        <v>1</v>
      </c>
      <c r="N20" s="8">
        <v>0.2</v>
      </c>
      <c r="O20" s="8">
        <v>0</v>
      </c>
      <c r="P20" s="8">
        <v>0.8</v>
      </c>
      <c r="Q20" s="8">
        <v>0</v>
      </c>
      <c r="R20" s="8">
        <v>0</v>
      </c>
      <c r="S20" s="8">
        <v>0.5</v>
      </c>
      <c r="T20" s="8">
        <f>VLOOKUP(B20,'[1]EMEA- AMER'!$A:$Q,17,FALSE)</f>
        <v>0</v>
      </c>
      <c r="U20" s="8">
        <v>1</v>
      </c>
      <c r="V20" s="8">
        <v>0</v>
      </c>
      <c r="W20" s="8">
        <v>0</v>
      </c>
      <c r="X20" s="8">
        <v>0</v>
      </c>
      <c r="Y20" t="str">
        <f t="shared" si="2"/>
        <v>OK</v>
      </c>
      <c r="Z20" s="10" t="s">
        <v>34</v>
      </c>
      <c r="AA20" s="10" t="s">
        <v>186</v>
      </c>
    </row>
    <row r="21" spans="1:27" x14ac:dyDescent="0.35">
      <c r="A21">
        <v>10995</v>
      </c>
      <c r="B21" t="s">
        <v>170</v>
      </c>
      <c r="C21" t="s">
        <v>36</v>
      </c>
      <c r="D21" t="s">
        <v>37</v>
      </c>
      <c r="E21" t="s">
        <v>30</v>
      </c>
      <c r="F21">
        <v>100</v>
      </c>
      <c r="G21" t="s">
        <v>31</v>
      </c>
      <c r="H21" t="s">
        <v>32</v>
      </c>
      <c r="I21" t="s">
        <v>33</v>
      </c>
      <c r="J21" s="7">
        <v>1</v>
      </c>
      <c r="K21" s="7">
        <v>1</v>
      </c>
      <c r="L21" s="7">
        <v>0</v>
      </c>
      <c r="M21" s="8">
        <v>1</v>
      </c>
      <c r="N21" s="8">
        <v>0.22</v>
      </c>
      <c r="O21" s="8">
        <v>0.27</v>
      </c>
      <c r="P21" s="8">
        <v>0.51</v>
      </c>
      <c r="Q21" s="8">
        <v>0</v>
      </c>
      <c r="R21" s="8">
        <v>0</v>
      </c>
      <c r="S21" s="8">
        <v>1</v>
      </c>
      <c r="T21" s="8">
        <f>VLOOKUP(B21,'[1]EMEA- AMER'!$A:$Q,17,FALSE)</f>
        <v>0</v>
      </c>
      <c r="U21" s="8">
        <v>1</v>
      </c>
      <c r="V21" s="8">
        <v>0</v>
      </c>
      <c r="W21" s="8">
        <v>0</v>
      </c>
      <c r="X21" s="8">
        <v>0</v>
      </c>
      <c r="Y21" t="str">
        <f t="shared" si="2"/>
        <v>OK</v>
      </c>
      <c r="Z21" s="10" t="s">
        <v>34</v>
      </c>
      <c r="AA21" s="10" t="s">
        <v>186</v>
      </c>
    </row>
    <row r="22" spans="1:27" x14ac:dyDescent="0.35">
      <c r="A22">
        <v>8770</v>
      </c>
      <c r="B22" t="s">
        <v>171</v>
      </c>
      <c r="C22" t="s">
        <v>80</v>
      </c>
      <c r="D22" t="s">
        <v>37</v>
      </c>
      <c r="E22" t="s">
        <v>30</v>
      </c>
      <c r="F22">
        <v>100</v>
      </c>
      <c r="G22" t="s">
        <v>31</v>
      </c>
      <c r="H22" t="s">
        <v>32</v>
      </c>
      <c r="I22" t="s">
        <v>33</v>
      </c>
      <c r="J22" s="7">
        <v>1</v>
      </c>
      <c r="K22" s="7">
        <v>1</v>
      </c>
      <c r="L22" s="7">
        <v>0</v>
      </c>
      <c r="M22" s="8">
        <v>1</v>
      </c>
      <c r="N22" s="8">
        <v>0</v>
      </c>
      <c r="O22" s="8">
        <v>0.5</v>
      </c>
      <c r="P22" s="8">
        <v>0.5</v>
      </c>
      <c r="Q22" s="8">
        <v>0</v>
      </c>
      <c r="R22" s="8">
        <v>0</v>
      </c>
      <c r="S22" s="8">
        <v>0.5</v>
      </c>
      <c r="T22" s="8">
        <f>VLOOKUP(B22,'[1]EMEA- AMER'!$A:$Q,17,FALSE)</f>
        <v>0</v>
      </c>
      <c r="U22" s="8">
        <v>1</v>
      </c>
      <c r="V22" s="8">
        <v>0</v>
      </c>
      <c r="W22" s="8">
        <v>0</v>
      </c>
      <c r="X22" s="8">
        <v>0</v>
      </c>
      <c r="Y22" t="str">
        <f t="shared" si="2"/>
        <v>OK</v>
      </c>
      <c r="Z22" s="10" t="s">
        <v>34</v>
      </c>
      <c r="AA22" s="10" t="s">
        <v>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4BA6-FAA0-4EE4-96BC-3E7203932F67}">
  <sheetPr>
    <tabColor theme="9" tint="0.39997558519241921"/>
  </sheetPr>
  <dimension ref="A1:AB16"/>
  <sheetViews>
    <sheetView zoomScale="70" zoomScaleNormal="70" workbookViewId="0">
      <selection activeCell="X162" sqref="X162"/>
    </sheetView>
  </sheetViews>
  <sheetFormatPr baseColWidth="10" defaultColWidth="8.7265625" defaultRowHeight="14.5" x14ac:dyDescent="0.35"/>
  <cols>
    <col min="1" max="1" width="16" customWidth="1"/>
    <col min="2" max="2" width="31.81640625" bestFit="1" customWidth="1"/>
    <col min="3" max="3" width="59.1796875" customWidth="1"/>
    <col min="4" max="4" width="24.54296875" customWidth="1"/>
    <col min="5" max="5" width="19.54296875" customWidth="1"/>
    <col min="6" max="6" width="12.453125" customWidth="1"/>
    <col min="7" max="7" width="14.81640625" customWidth="1"/>
    <col min="8" max="8" width="15.81640625" customWidth="1"/>
    <col min="9" max="9" width="9.81640625" customWidth="1"/>
    <col min="10" max="10" width="14.1796875" customWidth="1"/>
    <col min="11" max="11" width="8.7265625" customWidth="1"/>
    <col min="26" max="27" width="14.81640625" style="10" customWidth="1"/>
    <col min="28" max="28" width="34.81640625" customWidth="1"/>
  </cols>
  <sheetData>
    <row r="1" spans="1:28" ht="39" x14ac:dyDescent="0.35">
      <c r="A1" s="1" t="s">
        <v>0</v>
      </c>
      <c r="B1" s="12" t="s">
        <v>1</v>
      </c>
      <c r="C1" s="1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12" t="s">
        <v>10</v>
      </c>
      <c r="L1" s="12" t="s">
        <v>11</v>
      </c>
      <c r="M1" s="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5" t="s">
        <v>18</v>
      </c>
      <c r="T1" s="14" t="s">
        <v>197</v>
      </c>
      <c r="U1" s="5" t="s">
        <v>19</v>
      </c>
      <c r="V1" s="5" t="s">
        <v>20</v>
      </c>
      <c r="W1" s="5" t="s">
        <v>21</v>
      </c>
      <c r="X1" s="5" t="s">
        <v>22</v>
      </c>
      <c r="Y1" s="6" t="s">
        <v>23</v>
      </c>
      <c r="Z1" s="15" t="s">
        <v>24</v>
      </c>
      <c r="AA1" s="15" t="s">
        <v>25</v>
      </c>
      <c r="AB1" s="11" t="s">
        <v>26</v>
      </c>
    </row>
    <row r="2" spans="1:28" x14ac:dyDescent="0.35">
      <c r="A2">
        <v>4692</v>
      </c>
      <c r="B2" t="s">
        <v>92</v>
      </c>
      <c r="C2" t="s">
        <v>93</v>
      </c>
      <c r="D2" t="s">
        <v>94</v>
      </c>
      <c r="E2" t="s">
        <v>30</v>
      </c>
      <c r="F2">
        <v>100</v>
      </c>
      <c r="G2" t="s">
        <v>31</v>
      </c>
      <c r="H2" t="s">
        <v>32</v>
      </c>
      <c r="I2" t="s">
        <v>33</v>
      </c>
      <c r="J2" s="7">
        <v>1</v>
      </c>
      <c r="K2" s="7">
        <v>1</v>
      </c>
      <c r="L2" s="7">
        <v>0</v>
      </c>
      <c r="M2" s="8">
        <v>1</v>
      </c>
      <c r="N2" s="8">
        <v>0.2</v>
      </c>
      <c r="O2" s="8">
        <v>0.3</v>
      </c>
      <c r="P2" s="8">
        <v>0.5</v>
      </c>
      <c r="Q2" s="8">
        <v>0</v>
      </c>
      <c r="R2" s="8">
        <v>0</v>
      </c>
      <c r="S2" s="8">
        <v>0.5</v>
      </c>
      <c r="T2" s="8">
        <v>0</v>
      </c>
      <c r="U2" s="8">
        <v>1</v>
      </c>
      <c r="V2" s="8">
        <v>0</v>
      </c>
      <c r="W2" s="8">
        <v>0</v>
      </c>
      <c r="X2" s="8">
        <v>0</v>
      </c>
      <c r="Y2" t="str">
        <f t="shared" ref="Y2" si="0">IF(L2=1,"OK",IF(AND(SUM($N2:$R2)=1,SUM($U2:$X2)),"OK","Not 100%"))</f>
        <v>OK</v>
      </c>
      <c r="Z2" s="10" t="s">
        <v>34</v>
      </c>
      <c r="AA2" s="10" t="s">
        <v>186</v>
      </c>
    </row>
    <row r="3" spans="1:28" x14ac:dyDescent="0.35">
      <c r="A3">
        <v>11242</v>
      </c>
      <c r="B3" t="s">
        <v>140</v>
      </c>
      <c r="C3" t="s">
        <v>141</v>
      </c>
      <c r="D3" t="s">
        <v>94</v>
      </c>
      <c r="E3" t="s">
        <v>30</v>
      </c>
      <c r="F3">
        <v>100</v>
      </c>
      <c r="G3" t="s">
        <v>31</v>
      </c>
      <c r="H3" t="s">
        <v>32</v>
      </c>
      <c r="I3" t="s">
        <v>33</v>
      </c>
      <c r="J3" s="7">
        <v>1</v>
      </c>
      <c r="K3" s="7">
        <v>1</v>
      </c>
      <c r="L3" s="7">
        <v>0</v>
      </c>
      <c r="M3" s="8">
        <v>1</v>
      </c>
      <c r="N3" s="8">
        <v>0</v>
      </c>
      <c r="O3" s="8">
        <v>0.5</v>
      </c>
      <c r="P3" s="8">
        <v>0.5</v>
      </c>
      <c r="Q3" s="8">
        <v>0</v>
      </c>
      <c r="R3" s="8">
        <v>0</v>
      </c>
      <c r="S3" s="8">
        <v>1</v>
      </c>
      <c r="T3" s="8">
        <v>0</v>
      </c>
      <c r="U3" s="8">
        <v>1</v>
      </c>
      <c r="V3" s="8">
        <v>0</v>
      </c>
      <c r="W3" s="8">
        <v>0</v>
      </c>
      <c r="X3" s="8">
        <v>0</v>
      </c>
      <c r="Y3" t="str">
        <f t="shared" ref="Y3:Y14" si="1">IF(L3=1,"OK",IF(AND(SUM($N3:$R3)=1,SUM($U3:$X3)),"OK","Not 100%"))</f>
        <v>OK</v>
      </c>
      <c r="Z3" s="19" t="s">
        <v>42</v>
      </c>
      <c r="AA3" s="10" t="s">
        <v>186</v>
      </c>
    </row>
    <row r="4" spans="1:28" x14ac:dyDescent="0.35">
      <c r="A4">
        <v>9785</v>
      </c>
      <c r="B4" t="s">
        <v>142</v>
      </c>
      <c r="C4" t="s">
        <v>143</v>
      </c>
      <c r="D4" t="s">
        <v>94</v>
      </c>
      <c r="E4" t="s">
        <v>30</v>
      </c>
      <c r="F4">
        <v>100</v>
      </c>
      <c r="G4" t="s">
        <v>31</v>
      </c>
      <c r="H4" t="s">
        <v>32</v>
      </c>
      <c r="I4" t="s">
        <v>33</v>
      </c>
      <c r="J4" s="7">
        <v>1</v>
      </c>
      <c r="K4" s="7">
        <v>1</v>
      </c>
      <c r="L4" s="7">
        <v>0</v>
      </c>
      <c r="M4" s="8">
        <v>1</v>
      </c>
      <c r="N4" s="8">
        <v>1</v>
      </c>
      <c r="O4" s="8">
        <v>0</v>
      </c>
      <c r="P4" s="8">
        <v>0</v>
      </c>
      <c r="Q4" s="8">
        <v>0</v>
      </c>
      <c r="R4" s="8">
        <v>0</v>
      </c>
      <c r="S4" s="8">
        <v>1</v>
      </c>
      <c r="T4" s="8">
        <v>0</v>
      </c>
      <c r="U4" s="8">
        <v>1</v>
      </c>
      <c r="V4" s="8">
        <v>0</v>
      </c>
      <c r="W4" s="8">
        <v>0</v>
      </c>
      <c r="X4" s="8">
        <v>0</v>
      </c>
      <c r="Y4" t="str">
        <f t="shared" si="1"/>
        <v>OK</v>
      </c>
      <c r="Z4" s="10" t="s">
        <v>34</v>
      </c>
      <c r="AA4" s="10" t="s">
        <v>186</v>
      </c>
    </row>
    <row r="5" spans="1:28" x14ac:dyDescent="0.35">
      <c r="A5">
        <v>10961</v>
      </c>
      <c r="B5" t="s">
        <v>144</v>
      </c>
      <c r="C5" t="s">
        <v>145</v>
      </c>
      <c r="D5" t="s">
        <v>94</v>
      </c>
      <c r="E5" t="s">
        <v>30</v>
      </c>
      <c r="F5">
        <v>100</v>
      </c>
      <c r="G5" t="s">
        <v>31</v>
      </c>
      <c r="H5" t="s">
        <v>32</v>
      </c>
      <c r="I5" t="s">
        <v>33</v>
      </c>
      <c r="J5" s="7">
        <v>1</v>
      </c>
      <c r="K5" s="7">
        <v>1</v>
      </c>
      <c r="L5" s="7">
        <v>0</v>
      </c>
      <c r="M5" s="8">
        <v>1</v>
      </c>
      <c r="N5" s="8">
        <v>1</v>
      </c>
      <c r="O5" s="8">
        <v>0</v>
      </c>
      <c r="P5" s="8">
        <v>0</v>
      </c>
      <c r="Q5" s="8">
        <v>0</v>
      </c>
      <c r="R5" s="8">
        <v>0</v>
      </c>
      <c r="S5" s="8">
        <v>0.5</v>
      </c>
      <c r="T5" s="8">
        <v>1</v>
      </c>
      <c r="U5" s="8">
        <v>1</v>
      </c>
      <c r="V5" s="8">
        <v>0</v>
      </c>
      <c r="W5" s="8">
        <v>0</v>
      </c>
      <c r="X5" s="8">
        <v>0</v>
      </c>
      <c r="Y5" t="str">
        <f t="shared" si="1"/>
        <v>OK</v>
      </c>
      <c r="Z5" s="10" t="s">
        <v>34</v>
      </c>
      <c r="AA5" s="10" t="s">
        <v>186</v>
      </c>
    </row>
    <row r="6" spans="1:28" x14ac:dyDescent="0.35">
      <c r="A6">
        <v>9089</v>
      </c>
      <c r="B6" t="s">
        <v>146</v>
      </c>
      <c r="C6" t="s">
        <v>147</v>
      </c>
      <c r="D6" t="s">
        <v>94</v>
      </c>
      <c r="E6" t="s">
        <v>30</v>
      </c>
      <c r="F6">
        <v>100</v>
      </c>
      <c r="G6" t="s">
        <v>31</v>
      </c>
      <c r="H6" t="s">
        <v>32</v>
      </c>
      <c r="I6" t="s">
        <v>33</v>
      </c>
      <c r="J6" s="7">
        <v>1</v>
      </c>
      <c r="K6" s="7">
        <v>1</v>
      </c>
      <c r="L6" s="7">
        <v>0</v>
      </c>
      <c r="M6" s="8">
        <v>1</v>
      </c>
      <c r="N6" s="8">
        <v>0.05</v>
      </c>
      <c r="O6" s="8">
        <v>0.3</v>
      </c>
      <c r="P6" s="8">
        <v>0.65</v>
      </c>
      <c r="Q6" s="8">
        <v>0</v>
      </c>
      <c r="R6" s="8">
        <v>0</v>
      </c>
      <c r="S6" s="8">
        <v>1</v>
      </c>
      <c r="T6" s="8">
        <v>0</v>
      </c>
      <c r="U6" s="8">
        <v>1</v>
      </c>
      <c r="V6" s="8">
        <v>0</v>
      </c>
      <c r="W6" s="8">
        <v>0</v>
      </c>
      <c r="X6" s="8">
        <v>0</v>
      </c>
      <c r="Y6" t="str">
        <f t="shared" si="1"/>
        <v>OK</v>
      </c>
      <c r="Z6" s="10" t="s">
        <v>34</v>
      </c>
      <c r="AA6" s="10" t="s">
        <v>186</v>
      </c>
    </row>
    <row r="7" spans="1:28" x14ac:dyDescent="0.35">
      <c r="A7">
        <v>9756</v>
      </c>
      <c r="B7" t="s">
        <v>148</v>
      </c>
      <c r="C7" t="s">
        <v>149</v>
      </c>
      <c r="D7" t="s">
        <v>94</v>
      </c>
      <c r="E7" t="s">
        <v>39</v>
      </c>
      <c r="F7">
        <v>100</v>
      </c>
      <c r="G7" t="s">
        <v>31</v>
      </c>
      <c r="H7" t="s">
        <v>32</v>
      </c>
      <c r="I7" t="s">
        <v>33</v>
      </c>
      <c r="J7" s="7">
        <v>1</v>
      </c>
      <c r="K7" s="7">
        <v>1</v>
      </c>
      <c r="L7" s="7">
        <v>0</v>
      </c>
      <c r="M7" s="8">
        <v>1</v>
      </c>
      <c r="N7" s="8">
        <v>0.1</v>
      </c>
      <c r="O7" s="8">
        <v>0.4</v>
      </c>
      <c r="P7" s="8">
        <v>0.5</v>
      </c>
      <c r="Q7" s="8">
        <v>0</v>
      </c>
      <c r="R7" s="8">
        <v>0</v>
      </c>
      <c r="S7" s="8">
        <v>1</v>
      </c>
      <c r="T7" s="8">
        <v>0</v>
      </c>
      <c r="U7" s="8">
        <v>1</v>
      </c>
      <c r="V7" s="8">
        <v>0</v>
      </c>
      <c r="W7" s="8">
        <v>0</v>
      </c>
      <c r="X7" s="8">
        <v>0</v>
      </c>
      <c r="Y7" t="str">
        <f t="shared" si="1"/>
        <v>OK</v>
      </c>
      <c r="Z7" s="10" t="s">
        <v>34</v>
      </c>
      <c r="AA7" s="10" t="s">
        <v>186</v>
      </c>
    </row>
    <row r="8" spans="1:28" x14ac:dyDescent="0.35">
      <c r="A8">
        <v>9473</v>
      </c>
      <c r="B8" t="s">
        <v>150</v>
      </c>
      <c r="C8" t="s">
        <v>147</v>
      </c>
      <c r="D8" t="s">
        <v>94</v>
      </c>
      <c r="E8" t="s">
        <v>30</v>
      </c>
      <c r="F8">
        <v>100</v>
      </c>
      <c r="G8" t="s">
        <v>31</v>
      </c>
      <c r="H8" t="s">
        <v>32</v>
      </c>
      <c r="I8" t="s">
        <v>33</v>
      </c>
      <c r="J8" s="7">
        <v>1</v>
      </c>
      <c r="K8" s="7">
        <v>1</v>
      </c>
      <c r="L8" s="7">
        <v>0</v>
      </c>
      <c r="M8" s="8">
        <v>1</v>
      </c>
      <c r="N8" s="8">
        <v>0.1</v>
      </c>
      <c r="O8" s="8">
        <v>0.2</v>
      </c>
      <c r="P8" s="8">
        <v>0.7</v>
      </c>
      <c r="Q8" s="8">
        <v>0</v>
      </c>
      <c r="R8" s="8">
        <v>0</v>
      </c>
      <c r="S8" s="8">
        <v>0</v>
      </c>
      <c r="T8" s="8">
        <v>0</v>
      </c>
      <c r="U8" s="8">
        <v>1</v>
      </c>
      <c r="V8" s="8">
        <v>0</v>
      </c>
      <c r="W8" s="8">
        <v>0</v>
      </c>
      <c r="X8" s="8">
        <v>0</v>
      </c>
      <c r="Y8" t="str">
        <f t="shared" si="1"/>
        <v>OK</v>
      </c>
      <c r="Z8" s="10" t="s">
        <v>34</v>
      </c>
      <c r="AA8" s="10" t="s">
        <v>186</v>
      </c>
    </row>
    <row r="9" spans="1:28" ht="15" x14ac:dyDescent="0.35">
      <c r="A9">
        <v>9688</v>
      </c>
      <c r="B9" s="29" t="s">
        <v>200</v>
      </c>
      <c r="C9" t="s">
        <v>151</v>
      </c>
      <c r="D9" t="s">
        <v>94</v>
      </c>
      <c r="E9" t="s">
        <v>30</v>
      </c>
      <c r="F9">
        <v>100</v>
      </c>
      <c r="G9" t="s">
        <v>31</v>
      </c>
      <c r="H9" t="s">
        <v>32</v>
      </c>
      <c r="I9" t="s">
        <v>33</v>
      </c>
      <c r="J9" s="7">
        <v>1</v>
      </c>
      <c r="K9" s="7">
        <v>1</v>
      </c>
      <c r="L9" s="7">
        <v>0</v>
      </c>
      <c r="M9" s="8">
        <v>1</v>
      </c>
      <c r="N9" s="8">
        <v>0.15</v>
      </c>
      <c r="O9" s="8">
        <v>0.4</v>
      </c>
      <c r="P9" s="8">
        <v>0.45</v>
      </c>
      <c r="Q9" s="8">
        <v>0</v>
      </c>
      <c r="R9" s="8">
        <v>0</v>
      </c>
      <c r="S9" s="8">
        <v>1</v>
      </c>
      <c r="T9" s="8">
        <v>0</v>
      </c>
      <c r="U9" s="8">
        <v>1</v>
      </c>
      <c r="V9" s="8">
        <v>0</v>
      </c>
      <c r="W9" s="8">
        <v>0</v>
      </c>
      <c r="X9" s="8">
        <v>0</v>
      </c>
      <c r="Y9" t="str">
        <f t="shared" si="1"/>
        <v>OK</v>
      </c>
      <c r="Z9" s="19" t="s">
        <v>42</v>
      </c>
      <c r="AA9" s="10" t="s">
        <v>186</v>
      </c>
    </row>
    <row r="10" spans="1:28" x14ac:dyDescent="0.35">
      <c r="A10">
        <v>8796</v>
      </c>
      <c r="B10" t="s">
        <v>152</v>
      </c>
      <c r="C10" t="s">
        <v>153</v>
      </c>
      <c r="D10" t="s">
        <v>94</v>
      </c>
      <c r="E10" t="s">
        <v>30</v>
      </c>
      <c r="F10">
        <v>100</v>
      </c>
      <c r="G10" t="s">
        <v>31</v>
      </c>
      <c r="H10" t="s">
        <v>32</v>
      </c>
      <c r="I10" t="s">
        <v>33</v>
      </c>
      <c r="J10" s="7">
        <v>1</v>
      </c>
      <c r="K10" s="7">
        <v>1</v>
      </c>
      <c r="L10" s="7">
        <v>0</v>
      </c>
      <c r="M10" s="8">
        <v>1</v>
      </c>
      <c r="N10" s="8">
        <v>0.3</v>
      </c>
      <c r="O10" s="8">
        <v>0.3</v>
      </c>
      <c r="P10" s="8">
        <v>0.4</v>
      </c>
      <c r="Q10" s="8">
        <v>0</v>
      </c>
      <c r="R10" s="8">
        <v>0</v>
      </c>
      <c r="S10" s="8">
        <v>1</v>
      </c>
      <c r="T10" s="8">
        <v>0</v>
      </c>
      <c r="U10" s="8">
        <v>1</v>
      </c>
      <c r="V10" s="8">
        <v>0</v>
      </c>
      <c r="W10" s="8">
        <v>0</v>
      </c>
      <c r="X10" s="8">
        <v>0</v>
      </c>
      <c r="Y10" t="str">
        <f t="shared" si="1"/>
        <v>OK</v>
      </c>
      <c r="Z10" s="10" t="s">
        <v>34</v>
      </c>
      <c r="AA10" s="10" t="s">
        <v>186</v>
      </c>
    </row>
    <row r="11" spans="1:28" x14ac:dyDescent="0.35">
      <c r="A11">
        <v>9600</v>
      </c>
      <c r="B11" s="29" t="s">
        <v>154</v>
      </c>
      <c r="C11" t="s">
        <v>143</v>
      </c>
      <c r="D11" t="s">
        <v>94</v>
      </c>
      <c r="E11" t="s">
        <v>30</v>
      </c>
      <c r="F11">
        <v>100</v>
      </c>
      <c r="G11" t="s">
        <v>31</v>
      </c>
      <c r="H11" t="s">
        <v>32</v>
      </c>
      <c r="I11" t="s">
        <v>33</v>
      </c>
      <c r="J11" s="7">
        <v>1</v>
      </c>
      <c r="K11" s="7">
        <v>1</v>
      </c>
      <c r="L11" s="7">
        <v>0</v>
      </c>
      <c r="M11" s="8">
        <v>1</v>
      </c>
      <c r="N11" s="8">
        <v>0.91</v>
      </c>
      <c r="O11" s="8">
        <v>0.09</v>
      </c>
      <c r="P11" s="8">
        <v>0</v>
      </c>
      <c r="Q11" s="8">
        <v>0</v>
      </c>
      <c r="R11" s="8">
        <v>0</v>
      </c>
      <c r="S11" s="8">
        <v>1</v>
      </c>
      <c r="T11" s="8">
        <v>0</v>
      </c>
      <c r="U11" s="8">
        <v>1</v>
      </c>
      <c r="V11" s="8">
        <v>0</v>
      </c>
      <c r="W11" s="8">
        <v>0</v>
      </c>
      <c r="X11" s="8">
        <v>0</v>
      </c>
      <c r="Y11" t="str">
        <f t="shared" si="1"/>
        <v>OK</v>
      </c>
      <c r="Z11" s="10" t="s">
        <v>34</v>
      </c>
      <c r="AA11" s="10" t="s">
        <v>186</v>
      </c>
    </row>
    <row r="12" spans="1:28" x14ac:dyDescent="0.35">
      <c r="A12">
        <v>8948</v>
      </c>
      <c r="B12" t="s">
        <v>155</v>
      </c>
      <c r="C12" t="s">
        <v>156</v>
      </c>
      <c r="D12" t="s">
        <v>94</v>
      </c>
      <c r="E12" t="s">
        <v>30</v>
      </c>
      <c r="F12">
        <v>100</v>
      </c>
      <c r="G12" t="s">
        <v>31</v>
      </c>
      <c r="H12" t="s">
        <v>32</v>
      </c>
      <c r="I12" t="s">
        <v>33</v>
      </c>
      <c r="J12" s="7">
        <v>1</v>
      </c>
      <c r="K12" s="7">
        <v>1</v>
      </c>
      <c r="L12" s="7">
        <v>0</v>
      </c>
      <c r="M12" s="8">
        <v>1</v>
      </c>
      <c r="N12" s="8">
        <v>1</v>
      </c>
      <c r="O12" s="8">
        <v>0</v>
      </c>
      <c r="P12" s="8">
        <v>0</v>
      </c>
      <c r="Q12" s="8">
        <v>0</v>
      </c>
      <c r="R12" s="8">
        <v>0</v>
      </c>
      <c r="S12" s="8">
        <v>0.5</v>
      </c>
      <c r="T12" s="8">
        <v>1</v>
      </c>
      <c r="U12" s="8">
        <v>1</v>
      </c>
      <c r="V12" s="8">
        <v>0</v>
      </c>
      <c r="W12" s="8">
        <v>0</v>
      </c>
      <c r="X12" s="8">
        <v>0</v>
      </c>
      <c r="Y12" t="str">
        <f t="shared" si="1"/>
        <v>OK</v>
      </c>
      <c r="Z12" s="10" t="s">
        <v>34</v>
      </c>
      <c r="AA12" s="10" t="s">
        <v>186</v>
      </c>
    </row>
    <row r="13" spans="1:28" x14ac:dyDescent="0.35">
      <c r="A13">
        <v>9148</v>
      </c>
      <c r="B13" t="s">
        <v>157</v>
      </c>
      <c r="C13" t="s">
        <v>158</v>
      </c>
      <c r="D13" t="s">
        <v>94</v>
      </c>
      <c r="E13" t="s">
        <v>30</v>
      </c>
      <c r="F13">
        <v>100</v>
      </c>
      <c r="G13" t="s">
        <v>31</v>
      </c>
      <c r="H13" t="s">
        <v>32</v>
      </c>
      <c r="I13" t="s">
        <v>33</v>
      </c>
      <c r="J13" s="7">
        <v>1</v>
      </c>
      <c r="K13" s="7">
        <v>1</v>
      </c>
      <c r="L13" s="7">
        <v>0</v>
      </c>
      <c r="M13" s="8">
        <v>1</v>
      </c>
      <c r="N13" s="8">
        <v>1</v>
      </c>
      <c r="O13" s="8">
        <v>0</v>
      </c>
      <c r="P13" s="8">
        <v>0</v>
      </c>
      <c r="Q13" s="8">
        <v>0</v>
      </c>
      <c r="R13" s="8">
        <v>0</v>
      </c>
      <c r="S13" s="8">
        <v>1</v>
      </c>
      <c r="T13" s="8">
        <v>0</v>
      </c>
      <c r="U13" s="8">
        <v>1</v>
      </c>
      <c r="V13" s="8">
        <v>0</v>
      </c>
      <c r="W13" s="8">
        <v>0</v>
      </c>
      <c r="X13" s="8">
        <v>0</v>
      </c>
      <c r="Y13" t="str">
        <f t="shared" si="1"/>
        <v>OK</v>
      </c>
      <c r="Z13" s="10" t="s">
        <v>34</v>
      </c>
      <c r="AA13" s="10" t="s">
        <v>186</v>
      </c>
    </row>
    <row r="14" spans="1:28" x14ac:dyDescent="0.35">
      <c r="A14">
        <v>3837</v>
      </c>
      <c r="B14" t="s">
        <v>159</v>
      </c>
      <c r="C14" t="s">
        <v>160</v>
      </c>
      <c r="D14" t="s">
        <v>94</v>
      </c>
      <c r="E14" t="s">
        <v>39</v>
      </c>
      <c r="F14">
        <v>100</v>
      </c>
      <c r="G14" t="s">
        <v>31</v>
      </c>
      <c r="H14" t="s">
        <v>32</v>
      </c>
      <c r="I14" t="s">
        <v>33</v>
      </c>
      <c r="J14" s="7">
        <v>1</v>
      </c>
      <c r="K14" s="7">
        <v>1</v>
      </c>
      <c r="L14" s="7">
        <v>0</v>
      </c>
      <c r="M14" s="8">
        <v>1</v>
      </c>
      <c r="N14" s="8">
        <v>0.7</v>
      </c>
      <c r="O14" s="8">
        <v>0.15</v>
      </c>
      <c r="P14" s="8">
        <v>0.15</v>
      </c>
      <c r="Q14" s="8">
        <v>0</v>
      </c>
      <c r="R14" s="8">
        <v>0</v>
      </c>
      <c r="S14" s="8">
        <v>0.5</v>
      </c>
      <c r="T14" s="8">
        <v>0.5</v>
      </c>
      <c r="U14" s="8">
        <v>1</v>
      </c>
      <c r="V14" s="8">
        <v>0</v>
      </c>
      <c r="W14" s="8">
        <v>0</v>
      </c>
      <c r="X14" s="8">
        <v>0</v>
      </c>
      <c r="Y14" t="str">
        <f t="shared" si="1"/>
        <v>OK</v>
      </c>
      <c r="Z14" s="10" t="s">
        <v>34</v>
      </c>
      <c r="AA14" s="10" t="s">
        <v>186</v>
      </c>
    </row>
    <row r="15" spans="1:28" x14ac:dyDescent="0.35">
      <c r="A15">
        <v>2470</v>
      </c>
      <c r="B15" t="s">
        <v>172</v>
      </c>
      <c r="C15" t="s">
        <v>93</v>
      </c>
      <c r="D15" t="s">
        <v>94</v>
      </c>
      <c r="E15" t="s">
        <v>30</v>
      </c>
      <c r="F15">
        <v>100</v>
      </c>
      <c r="G15" t="s">
        <v>31</v>
      </c>
      <c r="H15" t="s">
        <v>32</v>
      </c>
      <c r="I15" t="s">
        <v>33</v>
      </c>
      <c r="J15" s="7">
        <v>1</v>
      </c>
      <c r="K15" s="7">
        <v>1</v>
      </c>
      <c r="L15" s="7">
        <v>0</v>
      </c>
      <c r="M15" s="8">
        <v>1</v>
      </c>
      <c r="N15" s="8">
        <v>1</v>
      </c>
      <c r="O15" s="8">
        <v>0</v>
      </c>
      <c r="P15" s="8">
        <v>0</v>
      </c>
      <c r="Q15" s="8">
        <v>0</v>
      </c>
      <c r="R15" s="8">
        <v>0</v>
      </c>
      <c r="S15" s="8">
        <v>0.5</v>
      </c>
      <c r="T15" s="8">
        <v>0</v>
      </c>
      <c r="U15" s="8">
        <v>1</v>
      </c>
      <c r="V15" s="8">
        <v>0</v>
      </c>
      <c r="W15" s="8">
        <v>0</v>
      </c>
      <c r="X15" s="8">
        <v>0</v>
      </c>
      <c r="Y15" t="str">
        <f t="shared" ref="Y15:Y16" si="2">IF(L15=1,"OK",IF(AND(SUM($N15:$R15)=1,SUM($U15:$X15)),"OK","Not 100%"))</f>
        <v>OK</v>
      </c>
      <c r="Z15" s="10" t="s">
        <v>34</v>
      </c>
      <c r="AA15" s="10" t="s">
        <v>186</v>
      </c>
    </row>
    <row r="16" spans="1:28" x14ac:dyDescent="0.35">
      <c r="A16">
        <v>4046</v>
      </c>
      <c r="B16" t="s">
        <v>173</v>
      </c>
      <c r="C16" t="s">
        <v>93</v>
      </c>
      <c r="D16" t="s">
        <v>94</v>
      </c>
      <c r="E16" t="s">
        <v>30</v>
      </c>
      <c r="F16">
        <v>100</v>
      </c>
      <c r="G16" t="s">
        <v>31</v>
      </c>
      <c r="H16" t="s">
        <v>32</v>
      </c>
      <c r="I16" t="s">
        <v>33</v>
      </c>
      <c r="J16" s="7">
        <v>1</v>
      </c>
      <c r="K16" s="7">
        <v>1</v>
      </c>
      <c r="L16" s="7">
        <v>0</v>
      </c>
      <c r="M16" s="8">
        <v>1</v>
      </c>
      <c r="N16" s="8">
        <v>0.15</v>
      </c>
      <c r="O16" s="8">
        <v>0.25</v>
      </c>
      <c r="P16" s="8">
        <v>0.6</v>
      </c>
      <c r="Q16" s="8">
        <v>0</v>
      </c>
      <c r="R16" s="8">
        <v>0</v>
      </c>
      <c r="S16" s="8">
        <v>1</v>
      </c>
      <c r="T16" s="8">
        <v>0</v>
      </c>
      <c r="U16" s="8">
        <v>1</v>
      </c>
      <c r="V16" s="8">
        <v>0</v>
      </c>
      <c r="W16" s="8">
        <v>0</v>
      </c>
      <c r="X16" s="8">
        <v>0</v>
      </c>
      <c r="Y16" t="str">
        <f t="shared" si="2"/>
        <v>OK</v>
      </c>
      <c r="Z16" s="10" t="s">
        <v>34</v>
      </c>
      <c r="AA16" s="10" t="s">
        <v>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DB7B-1F73-4E70-9EED-5979CB8DC144}">
  <sheetPr>
    <tabColor theme="9" tint="0.39997558519241921"/>
  </sheetPr>
  <dimension ref="A1:AB36"/>
  <sheetViews>
    <sheetView zoomScale="115" zoomScaleNormal="115" workbookViewId="0">
      <selection activeCell="X162" sqref="X162"/>
    </sheetView>
  </sheetViews>
  <sheetFormatPr baseColWidth="10" defaultColWidth="8.7265625" defaultRowHeight="14.5" x14ac:dyDescent="0.35"/>
  <cols>
    <col min="1" max="1" width="16" customWidth="1"/>
    <col min="2" max="2" width="31.81640625" bestFit="1" customWidth="1"/>
    <col min="3" max="3" width="59.1796875" customWidth="1"/>
    <col min="4" max="4" width="24.54296875" customWidth="1"/>
    <col min="5" max="5" width="19.54296875" customWidth="1"/>
    <col min="6" max="6" width="12.453125" customWidth="1"/>
    <col min="7" max="7" width="14.81640625" customWidth="1"/>
    <col min="8" max="8" width="15.81640625" customWidth="1"/>
    <col min="9" max="9" width="9.81640625" customWidth="1"/>
    <col min="10" max="10" width="14.1796875" customWidth="1"/>
    <col min="11" max="11" width="8.7265625" customWidth="1"/>
    <col min="12" max="13" width="9.1796875" customWidth="1"/>
    <col min="21" max="24" width="9.1796875" customWidth="1"/>
    <col min="26" max="27" width="14.81640625" style="10" customWidth="1"/>
    <col min="28" max="28" width="34.81640625" customWidth="1"/>
  </cols>
  <sheetData>
    <row r="1" spans="1:28" ht="39" x14ac:dyDescent="0.35">
      <c r="A1" s="1" t="s">
        <v>0</v>
      </c>
      <c r="B1" s="12" t="s">
        <v>1</v>
      </c>
      <c r="C1" s="1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12" t="s">
        <v>10</v>
      </c>
      <c r="L1" s="12" t="s">
        <v>11</v>
      </c>
      <c r="M1" s="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5" t="s">
        <v>18</v>
      </c>
      <c r="T1" s="14" t="s">
        <v>197</v>
      </c>
      <c r="U1" s="5" t="s">
        <v>19</v>
      </c>
      <c r="V1" s="5" t="s">
        <v>20</v>
      </c>
      <c r="W1" s="5" t="s">
        <v>21</v>
      </c>
      <c r="X1" s="5" t="s">
        <v>22</v>
      </c>
      <c r="Y1" s="6" t="s">
        <v>23</v>
      </c>
      <c r="Z1" s="15" t="s">
        <v>24</v>
      </c>
      <c r="AA1" s="15" t="s">
        <v>25</v>
      </c>
      <c r="AB1" s="11" t="s">
        <v>26</v>
      </c>
    </row>
    <row r="2" spans="1:28" x14ac:dyDescent="0.35">
      <c r="A2">
        <v>7133</v>
      </c>
      <c r="B2" t="s">
        <v>117</v>
      </c>
      <c r="C2" t="s">
        <v>118</v>
      </c>
      <c r="D2" t="s">
        <v>119</v>
      </c>
      <c r="E2" t="s">
        <v>30</v>
      </c>
      <c r="F2">
        <v>100</v>
      </c>
      <c r="G2" t="s">
        <v>31</v>
      </c>
      <c r="H2" t="s">
        <v>32</v>
      </c>
      <c r="I2" t="s">
        <v>33</v>
      </c>
      <c r="J2" s="7">
        <v>1</v>
      </c>
      <c r="K2" s="7">
        <v>1</v>
      </c>
      <c r="L2" s="7">
        <v>0</v>
      </c>
      <c r="M2" s="8">
        <v>1</v>
      </c>
      <c r="N2" s="8">
        <v>0.1</v>
      </c>
      <c r="O2" s="8">
        <v>0</v>
      </c>
      <c r="P2" s="8">
        <v>0.45</v>
      </c>
      <c r="Q2" s="8">
        <v>0.4</v>
      </c>
      <c r="R2" s="8">
        <v>0.05</v>
      </c>
      <c r="S2" s="8">
        <v>0.7</v>
      </c>
      <c r="T2" s="8">
        <v>1</v>
      </c>
      <c r="U2" s="8">
        <v>1</v>
      </c>
      <c r="V2" s="8">
        <v>0</v>
      </c>
      <c r="W2" s="8">
        <v>0</v>
      </c>
      <c r="X2" s="8">
        <v>0</v>
      </c>
      <c r="Y2" t="str">
        <f t="shared" ref="Y2:Y4" si="0">IF(L2=1,"OK",IF(AND(SUM($N2:$R2)=1,SUM($U2:$X2)),"OK","Not 100%"))</f>
        <v>OK</v>
      </c>
      <c r="Z2" s="10" t="s">
        <v>34</v>
      </c>
      <c r="AA2" s="10" t="s">
        <v>186</v>
      </c>
    </row>
    <row r="3" spans="1:28" x14ac:dyDescent="0.35">
      <c r="A3">
        <v>10814</v>
      </c>
      <c r="B3" t="s">
        <v>120</v>
      </c>
      <c r="C3" t="s">
        <v>121</v>
      </c>
      <c r="D3" t="s">
        <v>119</v>
      </c>
      <c r="E3" t="s">
        <v>30</v>
      </c>
      <c r="F3">
        <v>100</v>
      </c>
      <c r="G3" t="s">
        <v>31</v>
      </c>
      <c r="H3" t="s">
        <v>32</v>
      </c>
      <c r="I3" t="s">
        <v>33</v>
      </c>
      <c r="J3" s="7">
        <v>1</v>
      </c>
      <c r="K3" s="7">
        <v>1</v>
      </c>
      <c r="L3" s="7">
        <v>0</v>
      </c>
      <c r="M3" s="8">
        <v>1</v>
      </c>
      <c r="N3" s="8">
        <v>0.15</v>
      </c>
      <c r="O3" s="8">
        <v>0</v>
      </c>
      <c r="P3" s="8">
        <v>0.4</v>
      </c>
      <c r="Q3" s="8">
        <v>0.4</v>
      </c>
      <c r="R3" s="8">
        <v>0.05</v>
      </c>
      <c r="S3" s="8">
        <v>0.75</v>
      </c>
      <c r="T3" s="8">
        <v>1</v>
      </c>
      <c r="U3" s="8">
        <v>1</v>
      </c>
      <c r="V3" s="8">
        <v>0</v>
      </c>
      <c r="W3" s="8">
        <v>0</v>
      </c>
      <c r="X3" s="8">
        <v>0</v>
      </c>
      <c r="Y3" t="str">
        <f t="shared" si="0"/>
        <v>OK</v>
      </c>
      <c r="Z3" s="10" t="s">
        <v>34</v>
      </c>
      <c r="AA3" s="10" t="s">
        <v>186</v>
      </c>
    </row>
    <row r="4" spans="1:28" x14ac:dyDescent="0.35">
      <c r="A4">
        <v>10482</v>
      </c>
      <c r="B4" t="s">
        <v>122</v>
      </c>
      <c r="C4" t="s">
        <v>123</v>
      </c>
      <c r="D4" t="s">
        <v>119</v>
      </c>
      <c r="E4" t="s">
        <v>39</v>
      </c>
      <c r="F4">
        <v>100</v>
      </c>
      <c r="G4" t="s">
        <v>31</v>
      </c>
      <c r="H4" t="s">
        <v>32</v>
      </c>
      <c r="I4" t="s">
        <v>33</v>
      </c>
      <c r="J4" s="7">
        <v>1</v>
      </c>
      <c r="K4" s="7">
        <v>1</v>
      </c>
      <c r="L4" s="7">
        <v>0</v>
      </c>
      <c r="M4" s="8">
        <v>1</v>
      </c>
      <c r="N4" s="8">
        <v>0.1</v>
      </c>
      <c r="O4" s="8">
        <v>0</v>
      </c>
      <c r="P4" s="8">
        <v>0.45</v>
      </c>
      <c r="Q4" s="8">
        <v>0.4</v>
      </c>
      <c r="R4" s="8">
        <v>0.05</v>
      </c>
      <c r="S4" s="8">
        <v>0.7</v>
      </c>
      <c r="T4" s="8">
        <v>1</v>
      </c>
      <c r="U4" s="8">
        <v>1</v>
      </c>
      <c r="V4" s="8">
        <v>0</v>
      </c>
      <c r="W4" s="8">
        <v>0</v>
      </c>
      <c r="X4" s="8">
        <v>0</v>
      </c>
      <c r="Y4" t="str">
        <f t="shared" si="0"/>
        <v>OK</v>
      </c>
      <c r="Z4" s="10" t="s">
        <v>34</v>
      </c>
      <c r="AA4" s="10" t="s">
        <v>186</v>
      </c>
    </row>
    <row r="5" spans="1:28" x14ac:dyDescent="0.35">
      <c r="A5">
        <v>10251</v>
      </c>
      <c r="B5" t="s">
        <v>161</v>
      </c>
      <c r="C5" t="s">
        <v>162</v>
      </c>
      <c r="D5" t="s">
        <v>119</v>
      </c>
      <c r="E5" t="s">
        <v>30</v>
      </c>
      <c r="F5">
        <v>100</v>
      </c>
      <c r="G5" t="s">
        <v>31</v>
      </c>
      <c r="H5" t="s">
        <v>32</v>
      </c>
      <c r="I5" t="s">
        <v>33</v>
      </c>
      <c r="J5" s="7">
        <v>1</v>
      </c>
      <c r="K5" s="7">
        <v>1</v>
      </c>
      <c r="L5" s="7">
        <v>0</v>
      </c>
      <c r="M5" s="8">
        <v>1</v>
      </c>
      <c r="N5" s="8">
        <v>0.05</v>
      </c>
      <c r="O5" s="8">
        <v>0.05</v>
      </c>
      <c r="P5" s="8">
        <v>0.2</v>
      </c>
      <c r="Q5" s="8">
        <v>0.55000000000000004</v>
      </c>
      <c r="R5" s="8">
        <v>0.15</v>
      </c>
      <c r="S5" s="8">
        <v>0.7</v>
      </c>
      <c r="T5" s="8">
        <v>1</v>
      </c>
      <c r="U5" s="8">
        <v>1</v>
      </c>
      <c r="V5" s="8">
        <v>0</v>
      </c>
      <c r="W5" s="8">
        <v>0</v>
      </c>
      <c r="X5" s="8">
        <v>0</v>
      </c>
      <c r="Y5" t="str">
        <f t="shared" ref="Y5:Y11" si="1">IF(L5=1,"OK",IF(AND(SUM($N5:$R5)=1,SUM($U5:$X5)),"OK","Not 100%"))</f>
        <v>OK</v>
      </c>
      <c r="Z5" s="10" t="s">
        <v>34</v>
      </c>
      <c r="AA5" s="10" t="s">
        <v>186</v>
      </c>
    </row>
    <row r="6" spans="1:28" x14ac:dyDescent="0.35">
      <c r="A6">
        <v>6377</v>
      </c>
      <c r="B6" t="s">
        <v>163</v>
      </c>
      <c r="C6" t="s">
        <v>128</v>
      </c>
      <c r="D6" t="s">
        <v>119</v>
      </c>
      <c r="E6" t="s">
        <v>39</v>
      </c>
      <c r="F6">
        <v>100</v>
      </c>
      <c r="G6" t="s">
        <v>31</v>
      </c>
      <c r="H6" t="s">
        <v>32</v>
      </c>
      <c r="I6" t="s">
        <v>33</v>
      </c>
      <c r="J6" s="7">
        <v>1</v>
      </c>
      <c r="K6" s="7">
        <v>1</v>
      </c>
      <c r="L6" s="7">
        <v>0</v>
      </c>
      <c r="M6" s="8">
        <v>1</v>
      </c>
      <c r="N6" s="8">
        <v>0.1</v>
      </c>
      <c r="O6" s="8">
        <v>0</v>
      </c>
      <c r="P6" s="8">
        <v>0.45</v>
      </c>
      <c r="Q6" s="8">
        <v>0.4</v>
      </c>
      <c r="R6" s="8">
        <v>0.05</v>
      </c>
      <c r="S6" s="8">
        <v>0.7</v>
      </c>
      <c r="T6" s="8">
        <v>1</v>
      </c>
      <c r="U6" s="8">
        <v>1</v>
      </c>
      <c r="V6" s="8">
        <v>0</v>
      </c>
      <c r="W6" s="8">
        <v>0</v>
      </c>
      <c r="X6" s="8">
        <v>0</v>
      </c>
      <c r="Y6" t="str">
        <f t="shared" si="1"/>
        <v>OK</v>
      </c>
      <c r="Z6" s="10" t="s">
        <v>34</v>
      </c>
      <c r="AA6" s="10" t="s">
        <v>186</v>
      </c>
    </row>
    <row r="7" spans="1:28" x14ac:dyDescent="0.35">
      <c r="A7">
        <v>9394</v>
      </c>
      <c r="B7" t="s">
        <v>164</v>
      </c>
      <c r="C7" t="s">
        <v>162</v>
      </c>
      <c r="D7" t="s">
        <v>119</v>
      </c>
      <c r="E7" t="s">
        <v>30</v>
      </c>
      <c r="F7">
        <v>100</v>
      </c>
      <c r="G7" t="s">
        <v>31</v>
      </c>
      <c r="H7" t="s">
        <v>32</v>
      </c>
      <c r="I7" t="s">
        <v>33</v>
      </c>
      <c r="J7" s="7">
        <v>1</v>
      </c>
      <c r="K7" s="7">
        <v>1</v>
      </c>
      <c r="L7" s="7">
        <v>0</v>
      </c>
      <c r="M7" s="8">
        <v>1</v>
      </c>
      <c r="N7" s="8">
        <v>0.05</v>
      </c>
      <c r="O7" s="8">
        <v>0</v>
      </c>
      <c r="P7" s="8">
        <v>0.35</v>
      </c>
      <c r="Q7" s="8">
        <v>0.6</v>
      </c>
      <c r="R7" s="8">
        <v>0</v>
      </c>
      <c r="S7" s="8">
        <v>1</v>
      </c>
      <c r="T7" s="8">
        <v>1</v>
      </c>
      <c r="U7" s="8">
        <v>1</v>
      </c>
      <c r="V7" s="8">
        <v>0</v>
      </c>
      <c r="W7" s="8">
        <v>0</v>
      </c>
      <c r="X7" s="8">
        <v>0</v>
      </c>
      <c r="Y7" t="str">
        <f t="shared" si="1"/>
        <v>OK</v>
      </c>
      <c r="Z7" s="10" t="s">
        <v>34</v>
      </c>
      <c r="AA7" s="10" t="s">
        <v>186</v>
      </c>
    </row>
    <row r="8" spans="1:28" x14ac:dyDescent="0.35">
      <c r="A8">
        <v>9358</v>
      </c>
      <c r="B8" t="s">
        <v>165</v>
      </c>
      <c r="C8" t="s">
        <v>166</v>
      </c>
      <c r="D8" t="s">
        <v>119</v>
      </c>
      <c r="E8" t="s">
        <v>30</v>
      </c>
      <c r="F8">
        <v>100</v>
      </c>
      <c r="G8" t="s">
        <v>31</v>
      </c>
      <c r="H8" t="s">
        <v>32</v>
      </c>
      <c r="I8" t="s">
        <v>33</v>
      </c>
      <c r="J8" s="7">
        <v>1</v>
      </c>
      <c r="K8" s="7">
        <v>1</v>
      </c>
      <c r="L8" s="7">
        <v>0</v>
      </c>
      <c r="M8" s="8">
        <v>1</v>
      </c>
      <c r="N8" s="8">
        <v>0</v>
      </c>
      <c r="O8" s="8">
        <v>0</v>
      </c>
      <c r="P8" s="8">
        <v>0.35</v>
      </c>
      <c r="Q8" s="8">
        <v>0.55000000000000004</v>
      </c>
      <c r="R8" s="8">
        <v>0.1</v>
      </c>
      <c r="S8" s="8">
        <v>0.3</v>
      </c>
      <c r="T8" s="8">
        <v>1</v>
      </c>
      <c r="U8" s="8">
        <v>1</v>
      </c>
      <c r="V8" s="8">
        <v>0</v>
      </c>
      <c r="W8" s="8">
        <v>0</v>
      </c>
      <c r="X8" s="8">
        <v>0</v>
      </c>
      <c r="Y8" t="str">
        <f t="shared" si="1"/>
        <v>OK</v>
      </c>
      <c r="Z8" s="10" t="s">
        <v>34</v>
      </c>
      <c r="AA8" s="10" t="s">
        <v>186</v>
      </c>
    </row>
    <row r="9" spans="1:28" x14ac:dyDescent="0.35">
      <c r="A9">
        <v>10656</v>
      </c>
      <c r="B9" t="s">
        <v>167</v>
      </c>
      <c r="C9" t="s">
        <v>162</v>
      </c>
      <c r="D9" t="s">
        <v>119</v>
      </c>
      <c r="E9" t="s">
        <v>30</v>
      </c>
      <c r="F9">
        <v>100</v>
      </c>
      <c r="G9" t="s">
        <v>31</v>
      </c>
      <c r="H9" t="s">
        <v>32</v>
      </c>
      <c r="I9" t="s">
        <v>33</v>
      </c>
      <c r="J9" s="7">
        <v>1</v>
      </c>
      <c r="K9" s="7">
        <v>1</v>
      </c>
      <c r="L9" s="7">
        <v>0</v>
      </c>
      <c r="M9" s="8">
        <v>1</v>
      </c>
      <c r="N9" s="8">
        <v>0</v>
      </c>
      <c r="O9" s="8">
        <v>7.0000000000000007E-2</v>
      </c>
      <c r="P9" s="8">
        <v>0.18</v>
      </c>
      <c r="Q9" s="8">
        <v>0.6</v>
      </c>
      <c r="R9" s="8">
        <v>0.15</v>
      </c>
      <c r="S9" s="8">
        <v>0.5</v>
      </c>
      <c r="T9" s="8">
        <v>1</v>
      </c>
      <c r="U9" s="8">
        <v>1</v>
      </c>
      <c r="V9" s="8">
        <v>0</v>
      </c>
      <c r="W9" s="8">
        <v>0</v>
      </c>
      <c r="X9" s="8">
        <v>0</v>
      </c>
      <c r="Y9" t="str">
        <f t="shared" si="1"/>
        <v>OK</v>
      </c>
      <c r="Z9" s="10" t="s">
        <v>34</v>
      </c>
      <c r="AA9" s="10" t="s">
        <v>186</v>
      </c>
    </row>
    <row r="10" spans="1:28" x14ac:dyDescent="0.35">
      <c r="A10">
        <v>9757</v>
      </c>
      <c r="B10" t="s">
        <v>168</v>
      </c>
      <c r="C10" t="s">
        <v>162</v>
      </c>
      <c r="D10" t="s">
        <v>119</v>
      </c>
      <c r="E10" t="s">
        <v>30</v>
      </c>
      <c r="F10">
        <v>100</v>
      </c>
      <c r="G10" t="s">
        <v>31</v>
      </c>
      <c r="H10" t="s">
        <v>32</v>
      </c>
      <c r="I10" t="s">
        <v>33</v>
      </c>
      <c r="J10" s="7">
        <v>1</v>
      </c>
      <c r="K10" s="7">
        <v>1</v>
      </c>
      <c r="L10" s="7">
        <v>0</v>
      </c>
      <c r="M10" s="8">
        <v>1</v>
      </c>
      <c r="N10" s="8">
        <v>0.05</v>
      </c>
      <c r="O10" s="8">
        <v>0.05</v>
      </c>
      <c r="P10" s="8">
        <v>0.25</v>
      </c>
      <c r="Q10" s="8">
        <v>0.5</v>
      </c>
      <c r="R10" s="8">
        <v>0.15</v>
      </c>
      <c r="S10" s="8">
        <v>0.75</v>
      </c>
      <c r="T10" s="8">
        <v>1</v>
      </c>
      <c r="U10" s="8">
        <v>1</v>
      </c>
      <c r="V10" s="8">
        <v>0</v>
      </c>
      <c r="W10" s="8">
        <v>0</v>
      </c>
      <c r="X10" s="8">
        <v>0</v>
      </c>
      <c r="Y10" t="str">
        <f t="shared" si="1"/>
        <v>OK</v>
      </c>
      <c r="Z10" s="10" t="s">
        <v>34</v>
      </c>
      <c r="AA10" s="10" t="s">
        <v>186</v>
      </c>
    </row>
    <row r="11" spans="1:28" x14ac:dyDescent="0.35">
      <c r="A11">
        <v>11230</v>
      </c>
      <c r="B11" t="s">
        <v>169</v>
      </c>
      <c r="C11" t="s">
        <v>162</v>
      </c>
      <c r="D11" t="s">
        <v>119</v>
      </c>
      <c r="E11" t="s">
        <v>30</v>
      </c>
      <c r="F11">
        <v>100</v>
      </c>
      <c r="G11" t="s">
        <v>31</v>
      </c>
      <c r="H11" t="s">
        <v>32</v>
      </c>
      <c r="I11" t="s">
        <v>33</v>
      </c>
      <c r="J11" s="7">
        <v>1</v>
      </c>
      <c r="K11" s="7">
        <v>1</v>
      </c>
      <c r="L11" s="7">
        <v>0</v>
      </c>
      <c r="M11" s="8">
        <v>1</v>
      </c>
      <c r="N11" s="8">
        <v>0.1</v>
      </c>
      <c r="O11" s="8">
        <v>0</v>
      </c>
      <c r="P11" s="8">
        <v>0.3</v>
      </c>
      <c r="Q11" s="8">
        <v>0.5</v>
      </c>
      <c r="R11" s="8">
        <v>0.1</v>
      </c>
      <c r="S11" s="8">
        <v>0.75</v>
      </c>
      <c r="T11" s="8">
        <v>1</v>
      </c>
      <c r="U11" s="8">
        <v>1</v>
      </c>
      <c r="V11" s="8">
        <v>0</v>
      </c>
      <c r="W11" s="8">
        <v>0</v>
      </c>
      <c r="X11" s="8">
        <v>0</v>
      </c>
      <c r="Y11" t="str">
        <f t="shared" si="1"/>
        <v>OK</v>
      </c>
      <c r="Z11" s="10" t="s">
        <v>34</v>
      </c>
      <c r="AA11" s="10" t="s">
        <v>186</v>
      </c>
    </row>
    <row r="12" spans="1:28" s="13" customFormat="1" x14ac:dyDescent="0.35">
      <c r="A12" s="13" t="s">
        <v>175</v>
      </c>
      <c r="B12" s="13" t="s">
        <v>176</v>
      </c>
      <c r="C12" s="13" t="s">
        <v>162</v>
      </c>
      <c r="D12" s="13" t="s">
        <v>119</v>
      </c>
      <c r="E12" s="13" t="s">
        <v>30</v>
      </c>
      <c r="F12" s="13">
        <v>0</v>
      </c>
      <c r="G12" s="13" t="s">
        <v>31</v>
      </c>
      <c r="H12" s="13" t="s">
        <v>32</v>
      </c>
      <c r="I12" s="13" t="s">
        <v>33</v>
      </c>
      <c r="J12" s="17">
        <v>1</v>
      </c>
      <c r="K12" s="17">
        <v>1</v>
      </c>
      <c r="L12" s="17">
        <v>0</v>
      </c>
      <c r="M12" s="18">
        <v>1</v>
      </c>
      <c r="N12" s="18">
        <v>0</v>
      </c>
      <c r="O12" s="18">
        <v>0</v>
      </c>
      <c r="P12" s="18">
        <v>0.3</v>
      </c>
      <c r="Q12" s="18">
        <v>0.6</v>
      </c>
      <c r="R12" s="18">
        <v>0.1</v>
      </c>
      <c r="S12" s="18">
        <v>0.5</v>
      </c>
      <c r="T12" s="18">
        <v>1</v>
      </c>
      <c r="U12" s="18">
        <v>1</v>
      </c>
      <c r="V12" s="18">
        <v>0</v>
      </c>
      <c r="W12" s="18">
        <v>0</v>
      </c>
      <c r="X12" s="18">
        <v>0</v>
      </c>
      <c r="Y12" s="13" t="str">
        <f t="shared" ref="Y12" si="2">IF(L12=1,"OK",IF(AND(SUM($N12:$R12)=1,SUM($U12:$X12)),"OK","Not 100%"))</f>
        <v>OK</v>
      </c>
      <c r="Z12" s="19" t="s">
        <v>42</v>
      </c>
      <c r="AA12" s="19" t="s">
        <v>186</v>
      </c>
      <c r="AB12" s="13" t="s">
        <v>187</v>
      </c>
    </row>
    <row r="13" spans="1:28" x14ac:dyDescent="0.35">
      <c r="A13" s="13">
        <v>9740</v>
      </c>
      <c r="B13" s="13" t="s">
        <v>188</v>
      </c>
      <c r="C13" s="13" t="s">
        <v>166</v>
      </c>
      <c r="D13" s="13" t="s">
        <v>119</v>
      </c>
      <c r="E13" s="13" t="s">
        <v>30</v>
      </c>
      <c r="F13" s="13">
        <v>100</v>
      </c>
      <c r="G13" s="13" t="s">
        <v>31</v>
      </c>
      <c r="H13" s="13" t="s">
        <v>32</v>
      </c>
      <c r="I13" s="13" t="s">
        <v>33</v>
      </c>
      <c r="J13" s="17">
        <v>1</v>
      </c>
      <c r="K13" s="17">
        <v>1</v>
      </c>
      <c r="L13" s="17">
        <v>0</v>
      </c>
      <c r="M13" s="18">
        <v>1</v>
      </c>
      <c r="N13" s="18">
        <v>0</v>
      </c>
      <c r="O13" s="18">
        <v>0</v>
      </c>
      <c r="P13" s="18">
        <v>0.3</v>
      </c>
      <c r="Q13" s="18">
        <v>0.6</v>
      </c>
      <c r="R13" s="18">
        <v>0.1</v>
      </c>
      <c r="S13" s="18">
        <v>0.7</v>
      </c>
      <c r="T13" s="8">
        <v>1</v>
      </c>
      <c r="U13" s="18">
        <v>1</v>
      </c>
      <c r="V13" s="18">
        <v>0</v>
      </c>
      <c r="W13" s="18">
        <v>0</v>
      </c>
      <c r="X13" s="18">
        <v>0</v>
      </c>
      <c r="Y13" s="13" t="s">
        <v>189</v>
      </c>
      <c r="Z13" s="19" t="s">
        <v>34</v>
      </c>
      <c r="AA13" s="19" t="s">
        <v>186</v>
      </c>
      <c r="AB13" s="13" t="s">
        <v>190</v>
      </c>
    </row>
    <row r="21" spans="19:20" x14ac:dyDescent="0.35">
      <c r="S21" s="16"/>
      <c r="T21" s="16"/>
    </row>
    <row r="22" spans="19:20" x14ac:dyDescent="0.35">
      <c r="S22" s="16"/>
      <c r="T22" s="16"/>
    </row>
    <row r="23" spans="19:20" x14ac:dyDescent="0.35">
      <c r="S23" s="16"/>
      <c r="T23" s="16"/>
    </row>
    <row r="24" spans="19:20" x14ac:dyDescent="0.35">
      <c r="S24" s="16"/>
      <c r="T24" s="16"/>
    </row>
    <row r="25" spans="19:20" x14ac:dyDescent="0.35">
      <c r="S25" s="16"/>
      <c r="T25" s="16"/>
    </row>
    <row r="26" spans="19:20" x14ac:dyDescent="0.35">
      <c r="S26" s="16"/>
      <c r="T26" s="16"/>
    </row>
    <row r="27" spans="19:20" x14ac:dyDescent="0.35">
      <c r="S27" s="16"/>
      <c r="T27" s="16"/>
    </row>
    <row r="28" spans="19:20" x14ac:dyDescent="0.35">
      <c r="S28" s="16"/>
      <c r="T28" s="16"/>
    </row>
    <row r="29" spans="19:20" x14ac:dyDescent="0.35">
      <c r="S29" s="16"/>
      <c r="T29" s="16"/>
    </row>
    <row r="30" spans="19:20" x14ac:dyDescent="0.35">
      <c r="S30" s="16"/>
      <c r="T30" s="16"/>
    </row>
    <row r="31" spans="19:20" x14ac:dyDescent="0.35">
      <c r="S31" s="16"/>
      <c r="T31" s="16"/>
    </row>
    <row r="32" spans="19:20" x14ac:dyDescent="0.35">
      <c r="S32" s="16"/>
      <c r="T32" s="16"/>
    </row>
    <row r="33" spans="19:20" x14ac:dyDescent="0.35">
      <c r="S33" s="16"/>
      <c r="T33" s="16"/>
    </row>
    <row r="34" spans="19:20" x14ac:dyDescent="0.35">
      <c r="S34" s="16"/>
      <c r="T34" s="16"/>
    </row>
    <row r="35" spans="19:20" x14ac:dyDescent="0.35">
      <c r="S35" s="16"/>
      <c r="T35" s="16"/>
    </row>
    <row r="36" spans="19:20" x14ac:dyDescent="0.35">
      <c r="S36" s="16"/>
      <c r="T36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831C-B744-400C-8E2B-BAECE6361C5B}">
  <sheetPr>
    <tabColor theme="9" tint="0.39997558519241921"/>
  </sheetPr>
  <dimension ref="A1:AB20"/>
  <sheetViews>
    <sheetView tabSelected="1" zoomScaleNormal="100" workbookViewId="0">
      <selection activeCell="X162" sqref="X162"/>
    </sheetView>
  </sheetViews>
  <sheetFormatPr baseColWidth="10" defaultColWidth="8.7265625" defaultRowHeight="14.5" x14ac:dyDescent="0.35"/>
  <cols>
    <col min="1" max="1" width="16" customWidth="1"/>
    <col min="2" max="2" width="31.81640625" bestFit="1" customWidth="1"/>
    <col min="3" max="3" width="59.1796875" customWidth="1"/>
    <col min="4" max="4" width="24.54296875" customWidth="1"/>
    <col min="5" max="5" width="19.54296875" customWidth="1"/>
    <col min="6" max="6" width="12.453125" customWidth="1"/>
    <col min="7" max="7" width="14.81640625" customWidth="1"/>
    <col min="8" max="8" width="15.81640625" customWidth="1"/>
    <col min="9" max="9" width="9.81640625" customWidth="1"/>
    <col min="10" max="10" width="14.1796875" customWidth="1"/>
    <col min="11" max="11" width="8.7265625" customWidth="1"/>
    <col min="26" max="27" width="14.81640625" style="10" customWidth="1"/>
    <col min="28" max="28" width="34.81640625" customWidth="1"/>
  </cols>
  <sheetData>
    <row r="1" spans="1:28" ht="39" x14ac:dyDescent="0.35">
      <c r="A1" s="1" t="s">
        <v>0</v>
      </c>
      <c r="B1" s="12" t="s">
        <v>1</v>
      </c>
      <c r="C1" s="1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12" t="s">
        <v>10</v>
      </c>
      <c r="L1" s="12" t="s">
        <v>11</v>
      </c>
      <c r="M1" s="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5" t="s">
        <v>18</v>
      </c>
      <c r="T1" s="14" t="s">
        <v>197</v>
      </c>
      <c r="U1" s="5" t="s">
        <v>19</v>
      </c>
      <c r="V1" s="5" t="s">
        <v>20</v>
      </c>
      <c r="W1" s="5" t="s">
        <v>21</v>
      </c>
      <c r="X1" s="5" t="s">
        <v>22</v>
      </c>
      <c r="Y1" s="6" t="s">
        <v>23</v>
      </c>
      <c r="Z1" s="15" t="s">
        <v>24</v>
      </c>
      <c r="AA1" s="15" t="s">
        <v>25</v>
      </c>
      <c r="AB1" s="11" t="s">
        <v>26</v>
      </c>
    </row>
    <row r="2" spans="1:28" x14ac:dyDescent="0.35">
      <c r="A2">
        <v>12574</v>
      </c>
      <c r="B2" t="s">
        <v>27</v>
      </c>
      <c r="C2" t="s">
        <v>28</v>
      </c>
      <c r="D2" t="s">
        <v>29</v>
      </c>
      <c r="E2" t="s">
        <v>30</v>
      </c>
      <c r="F2">
        <v>100</v>
      </c>
      <c r="G2" t="s">
        <v>31</v>
      </c>
      <c r="H2" t="s">
        <v>32</v>
      </c>
      <c r="I2" t="s">
        <v>33</v>
      </c>
      <c r="J2" s="7">
        <v>1</v>
      </c>
      <c r="K2" s="7">
        <v>1</v>
      </c>
      <c r="L2" s="7">
        <v>0</v>
      </c>
      <c r="M2" s="8">
        <v>1</v>
      </c>
      <c r="N2" s="8">
        <v>0.35</v>
      </c>
      <c r="O2" s="8">
        <v>0.45</v>
      </c>
      <c r="P2" s="8">
        <v>0.2</v>
      </c>
      <c r="Q2" s="8">
        <v>0</v>
      </c>
      <c r="R2" s="8">
        <v>0</v>
      </c>
      <c r="S2" s="8">
        <v>0.35</v>
      </c>
      <c r="T2" s="8">
        <v>0</v>
      </c>
      <c r="U2" s="8">
        <v>1</v>
      </c>
      <c r="V2" s="8">
        <v>0</v>
      </c>
      <c r="W2" s="8">
        <v>0</v>
      </c>
      <c r="X2" s="8">
        <v>0</v>
      </c>
      <c r="Y2" t="str">
        <f>IF(L2=1,"OK",IF(AND(SUM($N2:$R2)=1,SUM($U2:$X2)),"OK","Not 100%"))</f>
        <v>OK</v>
      </c>
      <c r="Z2" s="10" t="s">
        <v>34</v>
      </c>
      <c r="AA2" s="10" t="s">
        <v>186</v>
      </c>
    </row>
    <row r="3" spans="1:28" x14ac:dyDescent="0.35">
      <c r="A3">
        <v>618</v>
      </c>
      <c r="B3" t="s">
        <v>65</v>
      </c>
      <c r="C3" t="s">
        <v>66</v>
      </c>
      <c r="D3" t="s">
        <v>29</v>
      </c>
      <c r="E3" t="s">
        <v>39</v>
      </c>
      <c r="F3">
        <v>100</v>
      </c>
      <c r="G3" t="s">
        <v>31</v>
      </c>
      <c r="H3" t="s">
        <v>32</v>
      </c>
      <c r="I3" t="s">
        <v>33</v>
      </c>
      <c r="J3" s="7">
        <v>1</v>
      </c>
      <c r="K3" s="7">
        <v>1</v>
      </c>
      <c r="L3" s="7">
        <v>0</v>
      </c>
      <c r="M3" s="8">
        <v>1</v>
      </c>
      <c r="N3" s="8">
        <v>0.5</v>
      </c>
      <c r="O3" s="8">
        <v>0.25</v>
      </c>
      <c r="P3" s="8">
        <v>0.25</v>
      </c>
      <c r="Q3" s="8">
        <v>0</v>
      </c>
      <c r="R3" s="8">
        <v>0</v>
      </c>
      <c r="S3" s="8">
        <v>1</v>
      </c>
      <c r="T3" s="8">
        <v>0.1</v>
      </c>
      <c r="U3" s="8">
        <v>1</v>
      </c>
      <c r="V3" s="8">
        <v>0</v>
      </c>
      <c r="W3" s="8">
        <v>0</v>
      </c>
      <c r="X3" s="8">
        <v>0</v>
      </c>
      <c r="Y3" t="str">
        <f t="shared" ref="Y3:Y6" si="0">IF(L3=1,"OK",IF(AND(SUM($N3:$R3)=1,SUM($U3:$X3)),"OK","Not 100%"))</f>
        <v>OK</v>
      </c>
      <c r="Z3" s="10" t="s">
        <v>34</v>
      </c>
      <c r="AA3" s="10" t="s">
        <v>186</v>
      </c>
    </row>
    <row r="4" spans="1:28" x14ac:dyDescent="0.35">
      <c r="A4">
        <v>8062</v>
      </c>
      <c r="B4" t="s">
        <v>67</v>
      </c>
      <c r="C4" t="s">
        <v>68</v>
      </c>
      <c r="D4" t="s">
        <v>29</v>
      </c>
      <c r="E4" t="s">
        <v>30</v>
      </c>
      <c r="F4">
        <v>100</v>
      </c>
      <c r="G4" t="s">
        <v>31</v>
      </c>
      <c r="H4" t="s">
        <v>32</v>
      </c>
      <c r="I4" t="s">
        <v>33</v>
      </c>
      <c r="J4" s="7">
        <v>1</v>
      </c>
      <c r="K4" s="7">
        <v>1</v>
      </c>
      <c r="L4" s="7">
        <v>0</v>
      </c>
      <c r="M4" s="8">
        <v>1</v>
      </c>
      <c r="N4" s="8">
        <v>0.85</v>
      </c>
      <c r="O4" s="8">
        <v>0</v>
      </c>
      <c r="P4" s="8">
        <v>0.15</v>
      </c>
      <c r="Q4" s="8">
        <v>0</v>
      </c>
      <c r="R4" s="8">
        <v>0</v>
      </c>
      <c r="S4" s="8">
        <v>1</v>
      </c>
      <c r="T4" s="8">
        <v>0</v>
      </c>
      <c r="U4" s="8">
        <v>1</v>
      </c>
      <c r="V4" s="8">
        <v>0</v>
      </c>
      <c r="W4" s="8">
        <v>0</v>
      </c>
      <c r="X4" s="8">
        <v>0</v>
      </c>
      <c r="Y4" t="str">
        <f t="shared" si="0"/>
        <v>OK</v>
      </c>
      <c r="Z4" s="10" t="s">
        <v>34</v>
      </c>
      <c r="AA4" s="10" t="s">
        <v>186</v>
      </c>
    </row>
    <row r="5" spans="1:28" x14ac:dyDescent="0.35">
      <c r="A5">
        <v>8105</v>
      </c>
      <c r="B5" t="s">
        <v>69</v>
      </c>
      <c r="C5" t="s">
        <v>70</v>
      </c>
      <c r="D5" t="s">
        <v>29</v>
      </c>
      <c r="E5" t="s">
        <v>30</v>
      </c>
      <c r="F5">
        <v>100</v>
      </c>
      <c r="G5" t="s">
        <v>31</v>
      </c>
      <c r="H5" t="s">
        <v>32</v>
      </c>
      <c r="I5" t="s">
        <v>33</v>
      </c>
      <c r="J5" s="7">
        <v>1</v>
      </c>
      <c r="K5" s="7">
        <v>1</v>
      </c>
      <c r="L5" s="7">
        <v>0</v>
      </c>
      <c r="M5" s="8">
        <v>1</v>
      </c>
      <c r="N5" s="8">
        <v>1</v>
      </c>
      <c r="O5" s="8">
        <v>0</v>
      </c>
      <c r="P5" s="8">
        <v>0</v>
      </c>
      <c r="Q5" s="8">
        <v>0</v>
      </c>
      <c r="R5" s="8">
        <v>0</v>
      </c>
      <c r="S5" s="8">
        <v>1</v>
      </c>
      <c r="T5" s="8">
        <v>0</v>
      </c>
      <c r="U5" s="8">
        <v>1</v>
      </c>
      <c r="V5" s="8">
        <v>0</v>
      </c>
      <c r="W5" s="8">
        <v>0</v>
      </c>
      <c r="X5" s="8">
        <v>0</v>
      </c>
      <c r="Y5" t="str">
        <f t="shared" si="0"/>
        <v>OK</v>
      </c>
      <c r="Z5" s="10" t="s">
        <v>34</v>
      </c>
      <c r="AA5" s="10" t="s">
        <v>186</v>
      </c>
    </row>
    <row r="6" spans="1:28" x14ac:dyDescent="0.35">
      <c r="A6">
        <v>3836</v>
      </c>
      <c r="B6" t="s">
        <v>71</v>
      </c>
      <c r="C6" t="s">
        <v>72</v>
      </c>
      <c r="D6" t="s">
        <v>29</v>
      </c>
      <c r="E6" t="s">
        <v>39</v>
      </c>
      <c r="F6" s="9">
        <v>80</v>
      </c>
      <c r="G6" t="s">
        <v>31</v>
      </c>
      <c r="H6" t="s">
        <v>32</v>
      </c>
      <c r="I6" t="s">
        <v>33</v>
      </c>
      <c r="J6" s="7">
        <v>1</v>
      </c>
      <c r="K6" s="7">
        <v>1</v>
      </c>
      <c r="L6" s="7">
        <v>0</v>
      </c>
      <c r="M6" s="8">
        <v>1</v>
      </c>
      <c r="N6" s="8">
        <v>0.7</v>
      </c>
      <c r="O6" s="8">
        <v>0.2</v>
      </c>
      <c r="P6" s="8">
        <v>0.1</v>
      </c>
      <c r="Q6" s="8">
        <v>0</v>
      </c>
      <c r="R6" s="8">
        <v>0</v>
      </c>
      <c r="S6" s="8">
        <v>0.55000000000000004</v>
      </c>
      <c r="T6" s="8">
        <v>0</v>
      </c>
      <c r="U6" s="8">
        <v>1</v>
      </c>
      <c r="V6" s="8">
        <v>0</v>
      </c>
      <c r="W6" s="8">
        <v>0</v>
      </c>
      <c r="X6" s="8">
        <v>0</v>
      </c>
      <c r="Y6" t="str">
        <f t="shared" si="0"/>
        <v>OK</v>
      </c>
      <c r="Z6" s="10" t="s">
        <v>34</v>
      </c>
      <c r="AA6" s="10" t="s">
        <v>186</v>
      </c>
      <c r="AB6" t="s">
        <v>191</v>
      </c>
    </row>
    <row r="7" spans="1:28" s="13" customFormat="1" x14ac:dyDescent="0.35">
      <c r="A7" s="13" t="s">
        <v>192</v>
      </c>
      <c r="B7" s="13" t="s">
        <v>192</v>
      </c>
      <c r="C7" s="13" t="s">
        <v>41</v>
      </c>
      <c r="D7" s="13" t="s">
        <v>29</v>
      </c>
      <c r="E7" s="13" t="s">
        <v>30</v>
      </c>
      <c r="F7" s="13">
        <v>0</v>
      </c>
      <c r="G7" s="13" t="s">
        <v>31</v>
      </c>
      <c r="H7" s="13" t="s">
        <v>32</v>
      </c>
      <c r="I7" s="13" t="s">
        <v>33</v>
      </c>
      <c r="J7" s="17">
        <v>1</v>
      </c>
      <c r="K7" s="17">
        <v>1</v>
      </c>
      <c r="L7" s="17">
        <v>0</v>
      </c>
      <c r="M7" s="18">
        <v>1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1</v>
      </c>
      <c r="T7" s="18">
        <v>0</v>
      </c>
      <c r="U7" s="18">
        <v>1</v>
      </c>
      <c r="V7" s="18">
        <v>0</v>
      </c>
      <c r="W7" s="18">
        <v>0</v>
      </c>
      <c r="X7" s="18">
        <v>0</v>
      </c>
      <c r="Y7" s="13" t="str">
        <f t="shared" ref="Y7:Y20" si="1">IF(L7=1,"OK",IF(AND(SUM($N7:$R7)=1,SUM($U7:$X7)),"OK","Not 100%"))</f>
        <v>Not 100%</v>
      </c>
      <c r="Z7" s="19" t="s">
        <v>42</v>
      </c>
      <c r="AA7" s="19" t="s">
        <v>186</v>
      </c>
      <c r="AB7" s="13" t="s">
        <v>198</v>
      </c>
    </row>
    <row r="8" spans="1:28" x14ac:dyDescent="0.35">
      <c r="A8" s="13" t="s">
        <v>95</v>
      </c>
      <c r="B8" s="13" t="s">
        <v>193</v>
      </c>
      <c r="C8" t="s">
        <v>96</v>
      </c>
      <c r="D8" t="s">
        <v>29</v>
      </c>
      <c r="E8" t="s">
        <v>30</v>
      </c>
      <c r="F8">
        <v>100</v>
      </c>
      <c r="G8" t="s">
        <v>31</v>
      </c>
      <c r="H8" t="s">
        <v>32</v>
      </c>
      <c r="I8" t="s">
        <v>85</v>
      </c>
      <c r="J8" s="7">
        <v>1</v>
      </c>
      <c r="K8" s="7">
        <v>1</v>
      </c>
      <c r="L8" s="7">
        <v>0</v>
      </c>
      <c r="M8" s="8">
        <v>1</v>
      </c>
      <c r="N8" s="8">
        <v>0.5</v>
      </c>
      <c r="O8" s="8">
        <v>0.25</v>
      </c>
      <c r="P8" s="8">
        <v>0.25</v>
      </c>
      <c r="Q8" s="8">
        <v>0</v>
      </c>
      <c r="R8" s="8">
        <v>0</v>
      </c>
      <c r="S8" s="8">
        <v>0.8</v>
      </c>
      <c r="T8" s="18">
        <v>0</v>
      </c>
      <c r="U8" s="8">
        <v>1</v>
      </c>
      <c r="V8" s="8">
        <v>0</v>
      </c>
      <c r="W8" s="8">
        <v>0</v>
      </c>
      <c r="X8" s="8">
        <v>0</v>
      </c>
      <c r="Y8" t="str">
        <f t="shared" si="1"/>
        <v>OK</v>
      </c>
      <c r="Z8" s="10" t="s">
        <v>34</v>
      </c>
      <c r="AA8" s="10" t="s">
        <v>186</v>
      </c>
      <c r="AB8" t="s">
        <v>194</v>
      </c>
    </row>
    <row r="9" spans="1:28" x14ac:dyDescent="0.35">
      <c r="A9">
        <v>9615</v>
      </c>
      <c r="B9" t="s">
        <v>97</v>
      </c>
      <c r="C9" t="s">
        <v>98</v>
      </c>
      <c r="D9" t="s">
        <v>29</v>
      </c>
      <c r="E9" t="s">
        <v>30</v>
      </c>
      <c r="F9">
        <v>100</v>
      </c>
      <c r="G9" t="s">
        <v>31</v>
      </c>
      <c r="H9" t="s">
        <v>32</v>
      </c>
      <c r="I9" t="s">
        <v>33</v>
      </c>
      <c r="J9" s="7">
        <v>1</v>
      </c>
      <c r="K9" s="7">
        <v>1</v>
      </c>
      <c r="L9" s="7">
        <v>0</v>
      </c>
      <c r="M9" s="8">
        <v>1</v>
      </c>
      <c r="N9" s="8">
        <v>1</v>
      </c>
      <c r="O9" s="8">
        <v>0</v>
      </c>
      <c r="P9" s="8">
        <v>0</v>
      </c>
      <c r="Q9" s="8">
        <v>0</v>
      </c>
      <c r="R9" s="8">
        <v>0</v>
      </c>
      <c r="S9" s="8">
        <v>1</v>
      </c>
      <c r="T9" s="8">
        <v>0</v>
      </c>
      <c r="U9" s="8">
        <v>1</v>
      </c>
      <c r="V9" s="8">
        <v>0</v>
      </c>
      <c r="W9" s="8">
        <v>0</v>
      </c>
      <c r="X9" s="8">
        <v>0</v>
      </c>
      <c r="Y9" t="str">
        <f t="shared" si="1"/>
        <v>OK</v>
      </c>
      <c r="Z9" s="10" t="s">
        <v>34</v>
      </c>
      <c r="AA9" s="10" t="s">
        <v>186</v>
      </c>
    </row>
    <row r="10" spans="1:28" x14ac:dyDescent="0.35">
      <c r="A10">
        <v>2608</v>
      </c>
      <c r="B10" t="s">
        <v>99</v>
      </c>
      <c r="C10" t="s">
        <v>100</v>
      </c>
      <c r="D10" t="s">
        <v>29</v>
      </c>
      <c r="E10" t="s">
        <v>39</v>
      </c>
      <c r="F10">
        <v>100</v>
      </c>
      <c r="G10" t="s">
        <v>31</v>
      </c>
      <c r="H10" t="s">
        <v>32</v>
      </c>
      <c r="I10" t="s">
        <v>33</v>
      </c>
      <c r="J10" s="7">
        <v>1</v>
      </c>
      <c r="K10" s="7">
        <v>1</v>
      </c>
      <c r="L10" s="7">
        <v>0</v>
      </c>
      <c r="M10" s="8">
        <v>1</v>
      </c>
      <c r="N10" s="8">
        <v>0.7</v>
      </c>
      <c r="O10" s="8">
        <v>0.2</v>
      </c>
      <c r="P10" s="8">
        <v>0.1</v>
      </c>
      <c r="Q10" s="8">
        <v>0</v>
      </c>
      <c r="R10" s="8">
        <v>0</v>
      </c>
      <c r="S10" s="8">
        <v>0.9</v>
      </c>
      <c r="T10" s="8">
        <v>0</v>
      </c>
      <c r="U10" s="8">
        <v>1</v>
      </c>
      <c r="V10" s="8">
        <v>0</v>
      </c>
      <c r="W10" s="8">
        <v>0</v>
      </c>
      <c r="X10" s="8">
        <v>0</v>
      </c>
      <c r="Y10" t="str">
        <f t="shared" si="1"/>
        <v>OK</v>
      </c>
      <c r="Z10" s="10" t="s">
        <v>34</v>
      </c>
      <c r="AA10" s="10" t="s">
        <v>186</v>
      </c>
    </row>
    <row r="11" spans="1:28" x14ac:dyDescent="0.35">
      <c r="A11">
        <v>10883</v>
      </c>
      <c r="B11" t="s">
        <v>101</v>
      </c>
      <c r="C11" t="s">
        <v>98</v>
      </c>
      <c r="D11" t="s">
        <v>29</v>
      </c>
      <c r="E11" t="s">
        <v>30</v>
      </c>
      <c r="F11">
        <v>100</v>
      </c>
      <c r="G11" t="s">
        <v>31</v>
      </c>
      <c r="H11" t="s">
        <v>32</v>
      </c>
      <c r="I11" t="s">
        <v>33</v>
      </c>
      <c r="J11" s="7">
        <v>1</v>
      </c>
      <c r="K11" s="7">
        <v>1</v>
      </c>
      <c r="L11" s="7">
        <v>0</v>
      </c>
      <c r="M11" s="8">
        <v>1</v>
      </c>
      <c r="N11" s="8">
        <v>1</v>
      </c>
      <c r="O11" s="8">
        <v>0</v>
      </c>
      <c r="P11" s="8">
        <v>0</v>
      </c>
      <c r="Q11" s="8">
        <v>0</v>
      </c>
      <c r="R11" s="8">
        <v>0</v>
      </c>
      <c r="S11" s="8">
        <v>1</v>
      </c>
      <c r="T11" s="8">
        <v>0</v>
      </c>
      <c r="U11" s="8">
        <v>1</v>
      </c>
      <c r="V11" s="8">
        <v>0</v>
      </c>
      <c r="W11" s="8">
        <v>0</v>
      </c>
      <c r="X11" s="8">
        <v>0</v>
      </c>
      <c r="Y11" t="str">
        <f t="shared" si="1"/>
        <v>OK</v>
      </c>
      <c r="Z11" s="10" t="s">
        <v>34</v>
      </c>
      <c r="AA11" s="10" t="s">
        <v>186</v>
      </c>
    </row>
    <row r="12" spans="1:28" x14ac:dyDescent="0.35">
      <c r="A12">
        <v>10555</v>
      </c>
      <c r="B12" t="s">
        <v>102</v>
      </c>
      <c r="C12" t="s">
        <v>103</v>
      </c>
      <c r="D12" t="s">
        <v>29</v>
      </c>
      <c r="E12" t="s">
        <v>30</v>
      </c>
      <c r="F12">
        <v>100</v>
      </c>
      <c r="G12" t="s">
        <v>31</v>
      </c>
      <c r="H12" t="s">
        <v>32</v>
      </c>
      <c r="I12" t="s">
        <v>33</v>
      </c>
      <c r="J12" s="7">
        <v>1</v>
      </c>
      <c r="K12" s="7">
        <v>1</v>
      </c>
      <c r="L12" s="7">
        <v>0</v>
      </c>
      <c r="M12" s="8">
        <v>1</v>
      </c>
      <c r="N12" s="8">
        <v>0.6</v>
      </c>
      <c r="O12" s="8">
        <v>0.2</v>
      </c>
      <c r="P12" s="8">
        <v>0.2</v>
      </c>
      <c r="Q12" s="8">
        <v>0</v>
      </c>
      <c r="R12" s="8">
        <v>0</v>
      </c>
      <c r="S12" s="8">
        <v>0.8</v>
      </c>
      <c r="T12" s="8">
        <v>0</v>
      </c>
      <c r="U12" s="8">
        <v>1</v>
      </c>
      <c r="V12" s="8">
        <v>0</v>
      </c>
      <c r="W12" s="8">
        <v>0</v>
      </c>
      <c r="X12" s="8">
        <v>0</v>
      </c>
      <c r="Y12" t="str">
        <f t="shared" si="1"/>
        <v>OK</v>
      </c>
      <c r="Z12" s="10" t="s">
        <v>34</v>
      </c>
      <c r="AA12" s="10" t="s">
        <v>186</v>
      </c>
    </row>
    <row r="13" spans="1:28" x14ac:dyDescent="0.35">
      <c r="A13">
        <v>8162</v>
      </c>
      <c r="B13" t="s">
        <v>104</v>
      </c>
      <c r="C13" t="s">
        <v>105</v>
      </c>
      <c r="D13" t="s">
        <v>29</v>
      </c>
      <c r="E13" t="s">
        <v>39</v>
      </c>
      <c r="F13">
        <v>100</v>
      </c>
      <c r="G13" t="s">
        <v>31</v>
      </c>
      <c r="H13" t="s">
        <v>32</v>
      </c>
      <c r="I13" t="s">
        <v>33</v>
      </c>
      <c r="J13" s="7">
        <v>1</v>
      </c>
      <c r="K13" s="7">
        <v>1</v>
      </c>
      <c r="L13" s="7">
        <v>0</v>
      </c>
      <c r="M13" s="8">
        <v>1</v>
      </c>
      <c r="N13" s="8">
        <v>0.8</v>
      </c>
      <c r="O13" s="8">
        <v>0.2</v>
      </c>
      <c r="P13" s="8">
        <v>0</v>
      </c>
      <c r="Q13" s="8">
        <v>0</v>
      </c>
      <c r="R13" s="8">
        <v>0</v>
      </c>
      <c r="S13" s="8">
        <v>1</v>
      </c>
      <c r="T13" s="8">
        <v>0</v>
      </c>
      <c r="U13" s="8">
        <v>1</v>
      </c>
      <c r="V13" s="8">
        <v>0</v>
      </c>
      <c r="W13" s="8">
        <v>0</v>
      </c>
      <c r="X13" s="8">
        <v>0</v>
      </c>
      <c r="Y13" t="str">
        <f t="shared" si="1"/>
        <v>OK</v>
      </c>
      <c r="Z13" s="10" t="s">
        <v>34</v>
      </c>
      <c r="AA13" s="10" t="s">
        <v>186</v>
      </c>
    </row>
    <row r="14" spans="1:28" s="13" customFormat="1" x14ac:dyDescent="0.35">
      <c r="A14" s="13">
        <v>12339</v>
      </c>
      <c r="B14" s="13" t="s">
        <v>106</v>
      </c>
      <c r="C14" s="13" t="s">
        <v>107</v>
      </c>
      <c r="D14" s="13" t="s">
        <v>29</v>
      </c>
      <c r="E14" s="13" t="s">
        <v>30</v>
      </c>
      <c r="F14" s="13">
        <v>100</v>
      </c>
      <c r="G14" s="13" t="s">
        <v>31</v>
      </c>
      <c r="H14" s="13" t="s">
        <v>32</v>
      </c>
      <c r="I14" s="13" t="s">
        <v>33</v>
      </c>
      <c r="J14" s="17">
        <v>1</v>
      </c>
      <c r="K14" s="17">
        <v>1</v>
      </c>
      <c r="L14" s="17">
        <v>0</v>
      </c>
      <c r="M14" s="18">
        <v>1</v>
      </c>
      <c r="N14" s="18">
        <v>0.5</v>
      </c>
      <c r="O14" s="18">
        <v>0.4</v>
      </c>
      <c r="P14" s="18">
        <v>0.1</v>
      </c>
      <c r="Q14" s="18">
        <v>0</v>
      </c>
      <c r="R14" s="18">
        <v>0</v>
      </c>
      <c r="S14" s="18">
        <v>1</v>
      </c>
      <c r="T14" s="18">
        <v>0.5</v>
      </c>
      <c r="U14" s="18">
        <v>1</v>
      </c>
      <c r="V14" s="18">
        <v>0</v>
      </c>
      <c r="W14" s="18">
        <v>0</v>
      </c>
      <c r="X14" s="18">
        <v>0</v>
      </c>
      <c r="Y14" s="13" t="str">
        <f t="shared" si="1"/>
        <v>OK</v>
      </c>
      <c r="Z14" s="19" t="s">
        <v>34</v>
      </c>
      <c r="AA14" s="19" t="s">
        <v>186</v>
      </c>
    </row>
    <row r="15" spans="1:28" x14ac:dyDescent="0.35">
      <c r="A15">
        <v>13363</v>
      </c>
      <c r="B15" t="s">
        <v>108</v>
      </c>
      <c r="C15" t="s">
        <v>103</v>
      </c>
      <c r="D15" t="s">
        <v>29</v>
      </c>
      <c r="E15" t="s">
        <v>30</v>
      </c>
      <c r="F15">
        <v>100</v>
      </c>
      <c r="G15" t="s">
        <v>31</v>
      </c>
      <c r="H15" t="s">
        <v>32</v>
      </c>
      <c r="I15" t="s">
        <v>33</v>
      </c>
      <c r="J15" s="7">
        <v>1</v>
      </c>
      <c r="K15" s="7">
        <v>1</v>
      </c>
      <c r="L15" s="7">
        <v>0</v>
      </c>
      <c r="M15" s="8">
        <v>1</v>
      </c>
      <c r="N15" s="8">
        <v>0.25</v>
      </c>
      <c r="O15" s="8">
        <v>0.3</v>
      </c>
      <c r="P15" s="8">
        <v>0.45</v>
      </c>
      <c r="Q15" s="8">
        <v>0</v>
      </c>
      <c r="R15" s="8">
        <v>0</v>
      </c>
      <c r="S15" s="8">
        <v>0.1</v>
      </c>
      <c r="T15" s="8">
        <v>0</v>
      </c>
      <c r="U15" s="8">
        <v>1</v>
      </c>
      <c r="V15" s="8">
        <v>0</v>
      </c>
      <c r="W15" s="8">
        <v>0</v>
      </c>
      <c r="X15" s="8">
        <v>0</v>
      </c>
      <c r="Y15" t="str">
        <f t="shared" si="1"/>
        <v>OK</v>
      </c>
      <c r="Z15" s="10" t="s">
        <v>34</v>
      </c>
      <c r="AA15" s="10" t="s">
        <v>186</v>
      </c>
    </row>
    <row r="16" spans="1:28" x14ac:dyDescent="0.35">
      <c r="A16">
        <v>9007</v>
      </c>
      <c r="B16" t="s">
        <v>109</v>
      </c>
      <c r="C16" t="s">
        <v>110</v>
      </c>
      <c r="D16" t="s">
        <v>29</v>
      </c>
      <c r="E16" t="s">
        <v>30</v>
      </c>
      <c r="F16">
        <v>100</v>
      </c>
      <c r="G16" t="s">
        <v>31</v>
      </c>
      <c r="H16" t="s">
        <v>32</v>
      </c>
      <c r="I16" t="s">
        <v>33</v>
      </c>
      <c r="J16" s="7">
        <v>1</v>
      </c>
      <c r="K16" s="7">
        <v>1</v>
      </c>
      <c r="L16" s="7">
        <v>0</v>
      </c>
      <c r="M16" s="8">
        <v>1</v>
      </c>
      <c r="N16" s="8">
        <v>0.7</v>
      </c>
      <c r="O16" s="8">
        <v>0.3</v>
      </c>
      <c r="P16" s="8">
        <v>0</v>
      </c>
      <c r="Q16" s="8">
        <v>0</v>
      </c>
      <c r="R16" s="8">
        <v>0</v>
      </c>
      <c r="S16" s="8">
        <v>1</v>
      </c>
      <c r="T16" s="8">
        <v>0</v>
      </c>
      <c r="U16" s="8">
        <v>1</v>
      </c>
      <c r="V16" s="8">
        <v>0</v>
      </c>
      <c r="W16" s="8">
        <v>0</v>
      </c>
      <c r="X16" s="8">
        <v>0</v>
      </c>
      <c r="Y16" t="str">
        <f t="shared" si="1"/>
        <v>OK</v>
      </c>
      <c r="Z16" s="10" t="s">
        <v>34</v>
      </c>
      <c r="AA16" s="10" t="s">
        <v>186</v>
      </c>
    </row>
    <row r="17" spans="1:28" x14ac:dyDescent="0.35">
      <c r="A17">
        <v>12971</v>
      </c>
      <c r="B17" t="s">
        <v>111</v>
      </c>
      <c r="C17" t="s">
        <v>107</v>
      </c>
      <c r="D17" t="s">
        <v>29</v>
      </c>
      <c r="E17" t="s">
        <v>30</v>
      </c>
      <c r="F17">
        <v>100</v>
      </c>
      <c r="G17" t="s">
        <v>31</v>
      </c>
      <c r="H17" t="s">
        <v>32</v>
      </c>
      <c r="I17" t="s">
        <v>33</v>
      </c>
      <c r="J17" s="7">
        <v>1</v>
      </c>
      <c r="K17" s="7">
        <v>1</v>
      </c>
      <c r="L17" s="7">
        <v>0</v>
      </c>
      <c r="M17" s="8">
        <v>1</v>
      </c>
      <c r="N17" s="8">
        <v>0.25</v>
      </c>
      <c r="O17" s="8">
        <v>0.35</v>
      </c>
      <c r="P17" s="8">
        <v>0.4</v>
      </c>
      <c r="Q17" s="8">
        <v>0</v>
      </c>
      <c r="R17" s="8">
        <v>0</v>
      </c>
      <c r="S17" s="8">
        <v>1</v>
      </c>
      <c r="T17" s="8">
        <v>0</v>
      </c>
      <c r="U17" s="8">
        <v>1</v>
      </c>
      <c r="V17" s="8">
        <v>0</v>
      </c>
      <c r="W17" s="8">
        <v>0</v>
      </c>
      <c r="X17" s="8">
        <v>0</v>
      </c>
      <c r="Y17" t="str">
        <f t="shared" si="1"/>
        <v>OK</v>
      </c>
      <c r="Z17" s="10" t="s">
        <v>34</v>
      </c>
      <c r="AA17" s="10" t="s">
        <v>186</v>
      </c>
    </row>
    <row r="18" spans="1:28" x14ac:dyDescent="0.35">
      <c r="A18">
        <v>13482</v>
      </c>
      <c r="B18" t="s">
        <v>112</v>
      </c>
      <c r="C18" t="s">
        <v>113</v>
      </c>
      <c r="D18" t="s">
        <v>29</v>
      </c>
      <c r="E18" t="s">
        <v>30</v>
      </c>
      <c r="F18">
        <v>100</v>
      </c>
      <c r="G18" t="s">
        <v>31</v>
      </c>
      <c r="H18" t="s">
        <v>32</v>
      </c>
      <c r="I18" t="s">
        <v>33</v>
      </c>
      <c r="J18" s="7">
        <v>1</v>
      </c>
      <c r="K18" s="7">
        <v>1</v>
      </c>
      <c r="L18" s="7">
        <v>0</v>
      </c>
      <c r="M18" s="8">
        <v>1</v>
      </c>
      <c r="N18" s="8">
        <v>0.6</v>
      </c>
      <c r="O18" s="8">
        <v>0.2</v>
      </c>
      <c r="P18" s="8">
        <v>0.2</v>
      </c>
      <c r="Q18" s="8">
        <v>0</v>
      </c>
      <c r="R18" s="8">
        <v>0</v>
      </c>
      <c r="S18" s="8">
        <v>1</v>
      </c>
      <c r="T18" s="8">
        <v>0</v>
      </c>
      <c r="U18" s="8">
        <v>1</v>
      </c>
      <c r="V18" s="8">
        <v>0</v>
      </c>
      <c r="W18" s="8">
        <v>0</v>
      </c>
      <c r="X18" s="8">
        <v>0</v>
      </c>
      <c r="Y18" t="str">
        <f t="shared" si="1"/>
        <v>OK</v>
      </c>
      <c r="Z18" s="10" t="s">
        <v>34</v>
      </c>
      <c r="AA18" s="10" t="s">
        <v>186</v>
      </c>
    </row>
    <row r="19" spans="1:28" x14ac:dyDescent="0.35">
      <c r="A19" s="13" t="s">
        <v>114</v>
      </c>
      <c r="B19" s="13" t="s">
        <v>195</v>
      </c>
      <c r="C19" t="s">
        <v>115</v>
      </c>
      <c r="D19" t="s">
        <v>29</v>
      </c>
      <c r="E19" t="s">
        <v>30</v>
      </c>
      <c r="F19">
        <v>100</v>
      </c>
      <c r="G19" t="s">
        <v>31</v>
      </c>
      <c r="H19" t="s">
        <v>32</v>
      </c>
      <c r="I19" t="s">
        <v>33</v>
      </c>
      <c r="J19" s="7">
        <v>1</v>
      </c>
      <c r="K19" s="7">
        <v>1</v>
      </c>
      <c r="L19" s="7">
        <v>0</v>
      </c>
      <c r="M19" s="8">
        <v>1</v>
      </c>
      <c r="N19" s="8">
        <v>0</v>
      </c>
      <c r="O19" s="8">
        <v>0.7</v>
      </c>
      <c r="P19" s="8">
        <v>0.3</v>
      </c>
      <c r="Q19" s="8">
        <v>0</v>
      </c>
      <c r="R19" s="8">
        <v>0</v>
      </c>
      <c r="S19" s="8">
        <v>1</v>
      </c>
      <c r="T19" s="18">
        <v>0</v>
      </c>
      <c r="U19" s="8">
        <v>1</v>
      </c>
      <c r="V19" s="8">
        <v>0</v>
      </c>
      <c r="W19" s="8">
        <v>0</v>
      </c>
      <c r="X19" s="8">
        <v>0</v>
      </c>
      <c r="Y19" t="str">
        <f t="shared" si="1"/>
        <v>OK</v>
      </c>
      <c r="Z19" s="10" t="s">
        <v>34</v>
      </c>
      <c r="AA19" s="10" t="s">
        <v>186</v>
      </c>
      <c r="AB19" t="s">
        <v>196</v>
      </c>
    </row>
    <row r="20" spans="1:28" x14ac:dyDescent="0.35">
      <c r="A20">
        <v>13751</v>
      </c>
      <c r="B20" t="s">
        <v>116</v>
      </c>
      <c r="C20" t="s">
        <v>113</v>
      </c>
      <c r="D20" t="s">
        <v>29</v>
      </c>
      <c r="E20" t="s">
        <v>30</v>
      </c>
      <c r="F20">
        <v>100</v>
      </c>
      <c r="G20" t="s">
        <v>31</v>
      </c>
      <c r="H20" t="s">
        <v>32</v>
      </c>
      <c r="I20" t="s">
        <v>33</v>
      </c>
      <c r="J20" s="7">
        <v>1</v>
      </c>
      <c r="K20" s="7">
        <v>1</v>
      </c>
      <c r="L20" s="7">
        <v>0</v>
      </c>
      <c r="M20" s="8">
        <v>1</v>
      </c>
      <c r="N20" s="8">
        <v>0</v>
      </c>
      <c r="O20" s="8">
        <v>1</v>
      </c>
      <c r="P20" s="8">
        <v>0</v>
      </c>
      <c r="Q20" s="8">
        <v>0</v>
      </c>
      <c r="R20" s="8">
        <v>0</v>
      </c>
      <c r="S20" s="8">
        <v>1</v>
      </c>
      <c r="T20" s="8">
        <v>0</v>
      </c>
      <c r="U20" s="8">
        <v>1</v>
      </c>
      <c r="V20" s="8">
        <v>0</v>
      </c>
      <c r="W20" s="8">
        <v>0</v>
      </c>
      <c r="X20" s="8">
        <v>0</v>
      </c>
      <c r="Y20" t="str">
        <f t="shared" si="1"/>
        <v>OK</v>
      </c>
      <c r="Z20" s="10" t="s">
        <v>34</v>
      </c>
      <c r="AA20" s="10" t="s">
        <v>186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7162E052BD6B48BCB9F52A239D75DA" ma:contentTypeVersion="3" ma:contentTypeDescription="Create a new document." ma:contentTypeScope="" ma:versionID="9871068febb0a3c6c67479689222ccef">
  <xsd:schema xmlns:xsd="http://www.w3.org/2001/XMLSchema" xmlns:xs="http://www.w3.org/2001/XMLSchema" xmlns:p="http://schemas.microsoft.com/office/2006/metadata/properties" xmlns:ns2="ba045c2e-dc9e-43d5-bd7e-9afbae0b2dcb" targetNamespace="http://schemas.microsoft.com/office/2006/metadata/properties" ma:root="true" ma:fieldsID="086cba507999f54f9bebf8fe52df84b9" ns2:_="">
    <xsd:import namespace="ba045c2e-dc9e-43d5-bd7e-9afbae0b2d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5c2e-dc9e-43d5-bd7e-9afbae0b2dc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FFE55D-8B98-4029-AD0D-C0F5086C4183}">
  <ds:schemaRefs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ba045c2e-dc9e-43d5-bd7e-9afbae0b2dcb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86B69B8F-F976-4591-8B32-3188C04730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A8CF20-906A-4FD0-9B8D-20BF9C58BF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a045c2e-dc9e-43d5-bd7e-9afbae0b2d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Chris TS-TO-AMS</vt:lpstr>
      <vt:lpstr>Cristian TS EMEA</vt:lpstr>
      <vt:lpstr>Adriano Crea-EMEA</vt:lpstr>
      <vt:lpstr>Nicolas TO EMA</vt:lpstr>
      <vt:lpstr>Derick AX EMEA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Guillem Sabi</dc:creator>
  <cp:keywords/>
  <dc:description/>
  <cp:lastModifiedBy>Ruben Ortiz</cp:lastModifiedBy>
  <cp:revision/>
  <dcterms:created xsi:type="dcterms:W3CDTF">2026-05-26T15:04:03Z</dcterms:created>
  <dcterms:modified xsi:type="dcterms:W3CDTF">2026-07-21T16:30:37Z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4b7cbc-c708-4bae-92f9-e7d5cd5d68c6_Enabled">
    <vt:lpwstr>true</vt:lpwstr>
  </property>
  <property fmtid="{D5CDD505-2E9C-101B-9397-08002B2CF9AE}" pid="3" name="MSIP_Label_054b7cbc-c708-4bae-92f9-e7d5cd5d68c6_SetDate">
    <vt:lpwstr>2026-05-27T10:47:41Z</vt:lpwstr>
  </property>
  <property fmtid="{D5CDD505-2E9C-101B-9397-08002B2CF9AE}" pid="4" name="MSIP_Label_054b7cbc-c708-4bae-92f9-e7d5cd5d68c6_Method">
    <vt:lpwstr>Standard</vt:lpwstr>
  </property>
  <property fmtid="{D5CDD505-2E9C-101B-9397-08002B2CF9AE}" pid="5" name="MSIP_Label_054b7cbc-c708-4bae-92f9-e7d5cd5d68c6_Name">
    <vt:lpwstr>Internal</vt:lpwstr>
  </property>
  <property fmtid="{D5CDD505-2E9C-101B-9397-08002B2CF9AE}" pid="6" name="MSIP_Label_054b7cbc-c708-4bae-92f9-e7d5cd5d68c6_SiteId">
    <vt:lpwstr>2a35d8fd-574d-48e3-927c-8c398e225a01</vt:lpwstr>
  </property>
  <property fmtid="{D5CDD505-2E9C-101B-9397-08002B2CF9AE}" pid="7" name="MSIP_Label_054b7cbc-c708-4bae-92f9-e7d5cd5d68c6_ActionId">
    <vt:lpwstr>e7a47a49-2a9a-438c-9af6-027d1a65ade1</vt:lpwstr>
  </property>
  <property fmtid="{D5CDD505-2E9C-101B-9397-08002B2CF9AE}" pid="8" name="MSIP_Label_054b7cbc-c708-4bae-92f9-e7d5cd5d68c6_ContentBits">
    <vt:lpwstr>0</vt:lpwstr>
  </property>
  <property fmtid="{D5CDD505-2E9C-101B-9397-08002B2CF9AE}" pid="9" name="MSIP_Label_054b7cbc-c708-4bae-92f9-e7d5cd5d68c6_Tag">
    <vt:lpwstr>10, 3, 0, 1</vt:lpwstr>
  </property>
  <property fmtid="{D5CDD505-2E9C-101B-9397-08002B2CF9AE}" pid="10" name="ContentTypeId">
    <vt:lpwstr>0x010100A67162E052BD6B48BCB9F52A239D75DA</vt:lpwstr>
  </property>
</Properties>
</file>